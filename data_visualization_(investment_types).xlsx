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24226"/>
  <mc:AlternateContent xmlns:mc="http://schemas.openxmlformats.org/markup-compatibility/2006">
    <mc:Choice Requires="x15">
      <x15ac:absPath xmlns:x15ac="http://schemas.microsoft.com/office/spreadsheetml/2010/11/ac" url="C:\Users\Kalambe'\Desktop\"/>
    </mc:Choice>
  </mc:AlternateContent>
  <xr:revisionPtr revIDLastSave="0" documentId="13_ncr:1_{FAE3061A-475E-40B2-89BF-A42D70B79FCC}" xr6:coauthVersionLast="47" xr6:coauthVersionMax="47" xr10:uidLastSave="{00000000-0000-0000-0000-000000000000}"/>
  <bookViews>
    <workbookView xWindow="-120" yWindow="-120" windowWidth="20730" windowHeight="11040" xr2:uid="{00000000-000D-0000-FFFF-FFFF00000000}"/>
  </bookViews>
  <sheets>
    <sheet name="Dataset" sheetId="1" r:id="rId1"/>
    <sheet name="Jenis Investasi dan Keuntungan" sheetId="4" r:id="rId2"/>
    <sheet name="Keuntungan dan Tingkat Resiko" sheetId="12" r:id="rId3"/>
    <sheet name="Slicer" sheetId="13" r:id="rId4"/>
  </sheets>
  <definedNames>
    <definedName name="Slicer_Jenis">#N/A</definedName>
    <definedName name="Slicer_Tingkat_Resiko">#N/A</definedName>
  </definedNames>
  <calcPr calcId="124519"/>
  <pivotCaches>
    <pivotCache cacheId="91" r:id="rId5"/>
    <pivotCache cacheId="8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<sst xmlns="http://schemas.openxmlformats.org/spreadsheetml/2006/main" count="259" uniqueCount="18">
  <si>
    <t>Cryptocurrency</t>
  </si>
  <si>
    <t>Real Estate</t>
  </si>
  <si>
    <t>Stocks</t>
  </si>
  <si>
    <t>Mutual Funds</t>
  </si>
  <si>
    <t>Bonds</t>
  </si>
  <si>
    <t>Medium</t>
  </si>
  <si>
    <t>Low</t>
  </si>
  <si>
    <t>High</t>
  </si>
  <si>
    <t>Jenis</t>
  </si>
  <si>
    <t>Jumlah (US Dollar)</t>
  </si>
  <si>
    <t>Keuntungan (Persen)</t>
  </si>
  <si>
    <t>Tingkat Resiko</t>
  </si>
  <si>
    <t>Jumlah Jenis</t>
  </si>
  <si>
    <t>Total Jenis</t>
  </si>
  <si>
    <t>Sum of Keuntungan (Persen)</t>
  </si>
  <si>
    <t>Tanggal</t>
  </si>
  <si>
    <t>Total Jumlah Investasi (US Dollar)</t>
  </si>
  <si>
    <t>Investasi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</si>
</sst>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6" formatCode="[$-13809]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xf>
    <xf numFmtId="0" fontId="0" fillId="0" borderId="0" xfId="0" applyAlignment="1">
      <alignment horizontal="left"/>
    </xf>
    <xf numFmtId="0" fontId="0" fillId="0" borderId="0" xfId="0" pivotButton="1"/>
    <xf numFmtId="0" fontId="0" fillId="0" borderId="0" xfId="0" applyNumberFormat="1"/>
    <xf numFmtId="166" fontId="0" fillId="0" borderId="0" xfId="0" applyNumberFormat="1" applyAlignment="1">
      <alignment horizontal="left"/>
    </xf>
    <xf numFmtId="166" fontId="0" fillId="0" borderId="0" xfId="0" applyNumberFormat="1"/>
    <xf numFmtId="0" fontId="0" fillId="0" borderId="0" xfId="0" pivotButton="1" applyAlignment="1">
      <alignment horizontal="left"/>
    </xf>
    <xf numFmtId="0" fontId="0" fillId="0" borderId="0" xfId="0" applyNumberFormat="1" applyAlignment="1">
      <alignment horizontal="left"/>
    </xf>
  </cellXfs>
  <cellStyles count="1">
    <cellStyle name="Normal" xfId="0" builtinId="0"/>
  </cellStyles>
  <dxfs count="10">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[232007_TugasBesar_EksplorasiDanVisualisasiData.xlsx]Jenis Investasi dan Keuntungan!PivotTable2</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Distribusi Jenis Investasi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'Jenis Investasi dan Keuntungan'!$B$3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'Jenis Investasi dan Keuntungan'!$A$4:$A$9</c:f>
              <c:strCache>
                <c:ptCount val="5"/>
                <c:pt idx="0">
                  <c:v>Bonds</c:v>
                </c:pt>
                <c:pt idx="1">
                  <c:v>Cryptocurrency</c:v>
                </c:pt>
                <c:pt idx="2">
                  <c:v>Mutual Funds</c:v>
                </c:pt>
                <c:pt idx="3">
                  <c:v>Real Estate</c:v>
                </c:pt>
                <c:pt idx="4">
                  <c:v>Stocks</c:v>
                </c:pt>
              </c:strCache>
            </c:strRef>
          </c:cat>
          <c:val>
            <c:numRef>
              <c:f>'Jenis Investasi dan Keuntungan'!$B$4:$B$9</c:f>
              <c:numCache>
                <c:formatCode>General</c:formatCode>
                <c:ptCount val="5"/>
                <c:pt idx="0">
                  <c:v>21</c:v>
                </c:pt>
                <c:pt idx="1">
                  <c:v>23</c:v>
                </c:pt>
                <c:pt idx="2">
                  <c:v>27</c:v>
                </c:pt>
                <c:pt idx="3">
                  <c:v>17</c:v>
                </c:pt>
                <c:pt idx="4">
                  <c:v>12</c:v>
                </c:pt>
              </c:numCache>
            </c:numRef>
          </c:val>
          <c:extLst>
            <c:ext xmlns:c16="http://schemas.microsoft.com/office/drawing/2014/chart" uri="{C3380CC4-5D6E-409C-BE32-E72D297353CC}">
              <c16:uniqueId val="{00000000-9922-47F0-8F3D-234ED986167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Dataset!$D$1</c:f>
              <c:strCache>
                <c:ptCount val="1"/>
                <c:pt idx="0">
                  <c:v>Keuntungan (Persen)</c:v>
                </c:pt>
              </c:strCache>
            </c:strRef>
          </c:tx>
          <c:spPr>
            <a:ln w="38100" cap="rnd">
              <a:solidFill>
                <a:schemeClr val="accent1"/>
              </a:solidFill>
              <a:round/>
            </a:ln>
            <a:effectLst/>
          </c:spPr>
          <c:marker>
            <c:symbol val="none"/>
          </c:marker>
          <c:cat>
            <c:numRef>
              <c:f>Dataset!$A$2:$A$101</c:f>
              <c:numCache>
                <c:formatCode>[$-13809]dd/mm/yyyy;@</c:formatCode>
                <c:ptCount val="100"/>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numCache>
            </c:numRef>
          </c:cat>
          <c:val>
            <c:numRef>
              <c:f>Dataset!$D$2:$D$101</c:f>
              <c:numCache>
                <c:formatCode>General</c:formatCode>
                <c:ptCount val="100"/>
                <c:pt idx="0">
                  <c:v>5.86</c:v>
                </c:pt>
                <c:pt idx="1">
                  <c:v>5.6</c:v>
                </c:pt>
                <c:pt idx="2">
                  <c:v>10.33</c:v>
                </c:pt>
                <c:pt idx="3">
                  <c:v>-4.43</c:v>
                </c:pt>
                <c:pt idx="4">
                  <c:v>-1.34</c:v>
                </c:pt>
                <c:pt idx="5">
                  <c:v>14.78</c:v>
                </c:pt>
                <c:pt idx="6">
                  <c:v>-0.48</c:v>
                </c:pt>
                <c:pt idx="7">
                  <c:v>1.1100000000000001</c:v>
                </c:pt>
                <c:pt idx="8">
                  <c:v>3.76</c:v>
                </c:pt>
                <c:pt idx="9">
                  <c:v>5.55</c:v>
                </c:pt>
                <c:pt idx="10">
                  <c:v>10.220000000000001</c:v>
                </c:pt>
                <c:pt idx="11">
                  <c:v>-4.21</c:v>
                </c:pt>
                <c:pt idx="12">
                  <c:v>-0.49</c:v>
                </c:pt>
                <c:pt idx="13">
                  <c:v>3.11</c:v>
                </c:pt>
                <c:pt idx="14">
                  <c:v>14.09</c:v>
                </c:pt>
                <c:pt idx="15">
                  <c:v>14.04</c:v>
                </c:pt>
                <c:pt idx="16">
                  <c:v>-1.04</c:v>
                </c:pt>
                <c:pt idx="17">
                  <c:v>-4.3899999999999997</c:v>
                </c:pt>
                <c:pt idx="18">
                  <c:v>6.09</c:v>
                </c:pt>
                <c:pt idx="19">
                  <c:v>5.71</c:v>
                </c:pt>
                <c:pt idx="20">
                  <c:v>9.39</c:v>
                </c:pt>
                <c:pt idx="21">
                  <c:v>6.42</c:v>
                </c:pt>
                <c:pt idx="22">
                  <c:v>5.84</c:v>
                </c:pt>
                <c:pt idx="23">
                  <c:v>8.49</c:v>
                </c:pt>
                <c:pt idx="24">
                  <c:v>3.3</c:v>
                </c:pt>
                <c:pt idx="25">
                  <c:v>10.42</c:v>
                </c:pt>
                <c:pt idx="26">
                  <c:v>3.34</c:v>
                </c:pt>
                <c:pt idx="27">
                  <c:v>-4.07</c:v>
                </c:pt>
                <c:pt idx="28">
                  <c:v>8.0399999999999991</c:v>
                </c:pt>
                <c:pt idx="29">
                  <c:v>3.92</c:v>
                </c:pt>
                <c:pt idx="30">
                  <c:v>-3.19</c:v>
                </c:pt>
                <c:pt idx="31">
                  <c:v>-1.02</c:v>
                </c:pt>
                <c:pt idx="32">
                  <c:v>3.83</c:v>
                </c:pt>
                <c:pt idx="33">
                  <c:v>12.76</c:v>
                </c:pt>
                <c:pt idx="34">
                  <c:v>11.7</c:v>
                </c:pt>
                <c:pt idx="35">
                  <c:v>4.25</c:v>
                </c:pt>
                <c:pt idx="36">
                  <c:v>14.21</c:v>
                </c:pt>
                <c:pt idx="37">
                  <c:v>6.23</c:v>
                </c:pt>
                <c:pt idx="38">
                  <c:v>8.48</c:v>
                </c:pt>
                <c:pt idx="39">
                  <c:v>9.4600000000000009</c:v>
                </c:pt>
                <c:pt idx="40">
                  <c:v>-0.96</c:v>
                </c:pt>
                <c:pt idx="41">
                  <c:v>-1.7</c:v>
                </c:pt>
                <c:pt idx="42">
                  <c:v>5.35</c:v>
                </c:pt>
                <c:pt idx="43">
                  <c:v>4.8</c:v>
                </c:pt>
                <c:pt idx="44">
                  <c:v>-2.67</c:v>
                </c:pt>
                <c:pt idx="45">
                  <c:v>9.1300000000000008</c:v>
                </c:pt>
                <c:pt idx="46">
                  <c:v>3.37</c:v>
                </c:pt>
                <c:pt idx="47">
                  <c:v>-4.18</c:v>
                </c:pt>
                <c:pt idx="48">
                  <c:v>0.88</c:v>
                </c:pt>
                <c:pt idx="49">
                  <c:v>9.67</c:v>
                </c:pt>
                <c:pt idx="50">
                  <c:v>-2.94</c:v>
                </c:pt>
                <c:pt idx="51">
                  <c:v>2.5299999999999998</c:v>
                </c:pt>
                <c:pt idx="52">
                  <c:v>4.28</c:v>
                </c:pt>
                <c:pt idx="53">
                  <c:v>14.42</c:v>
                </c:pt>
                <c:pt idx="54">
                  <c:v>-3.61</c:v>
                </c:pt>
                <c:pt idx="55">
                  <c:v>3.79</c:v>
                </c:pt>
                <c:pt idx="56">
                  <c:v>14.82</c:v>
                </c:pt>
                <c:pt idx="57">
                  <c:v>-0.34</c:v>
                </c:pt>
                <c:pt idx="58">
                  <c:v>5.55</c:v>
                </c:pt>
                <c:pt idx="59">
                  <c:v>-1.65</c:v>
                </c:pt>
                <c:pt idx="60">
                  <c:v>7.13</c:v>
                </c:pt>
                <c:pt idx="61">
                  <c:v>12.46</c:v>
                </c:pt>
                <c:pt idx="62">
                  <c:v>7.11</c:v>
                </c:pt>
                <c:pt idx="63">
                  <c:v>-1.91</c:v>
                </c:pt>
                <c:pt idx="64">
                  <c:v>2.99</c:v>
                </c:pt>
                <c:pt idx="65">
                  <c:v>11.37</c:v>
                </c:pt>
                <c:pt idx="66">
                  <c:v>2.75</c:v>
                </c:pt>
                <c:pt idx="67">
                  <c:v>-3.15</c:v>
                </c:pt>
                <c:pt idx="68">
                  <c:v>8.4700000000000006</c:v>
                </c:pt>
                <c:pt idx="69">
                  <c:v>2.13</c:v>
                </c:pt>
                <c:pt idx="70">
                  <c:v>-3.57</c:v>
                </c:pt>
                <c:pt idx="71">
                  <c:v>7.32</c:v>
                </c:pt>
                <c:pt idx="72">
                  <c:v>14.77</c:v>
                </c:pt>
                <c:pt idx="73">
                  <c:v>9.57</c:v>
                </c:pt>
                <c:pt idx="74">
                  <c:v>-1.35</c:v>
                </c:pt>
                <c:pt idx="75">
                  <c:v>-1.04</c:v>
                </c:pt>
                <c:pt idx="76">
                  <c:v>-2.69</c:v>
                </c:pt>
                <c:pt idx="77">
                  <c:v>-3.26</c:v>
                </c:pt>
                <c:pt idx="78">
                  <c:v>11.27</c:v>
                </c:pt>
                <c:pt idx="79">
                  <c:v>-4.8</c:v>
                </c:pt>
                <c:pt idx="80">
                  <c:v>-3.87</c:v>
                </c:pt>
                <c:pt idx="81">
                  <c:v>14.57</c:v>
                </c:pt>
                <c:pt idx="82">
                  <c:v>1.93</c:v>
                </c:pt>
                <c:pt idx="83">
                  <c:v>14.86</c:v>
                </c:pt>
                <c:pt idx="84">
                  <c:v>9.56</c:v>
                </c:pt>
                <c:pt idx="85">
                  <c:v>12.67</c:v>
                </c:pt>
                <c:pt idx="86">
                  <c:v>2.96</c:v>
                </c:pt>
                <c:pt idx="87">
                  <c:v>6.73</c:v>
                </c:pt>
                <c:pt idx="88">
                  <c:v>8.15</c:v>
                </c:pt>
                <c:pt idx="89">
                  <c:v>13.85</c:v>
                </c:pt>
                <c:pt idx="90">
                  <c:v>5.27</c:v>
                </c:pt>
                <c:pt idx="91">
                  <c:v>7.7</c:v>
                </c:pt>
                <c:pt idx="92">
                  <c:v>0.41</c:v>
                </c:pt>
                <c:pt idx="93">
                  <c:v>6.94</c:v>
                </c:pt>
                <c:pt idx="94">
                  <c:v>9.4700000000000006</c:v>
                </c:pt>
                <c:pt idx="95">
                  <c:v>14.38</c:v>
                </c:pt>
                <c:pt idx="96">
                  <c:v>8.36</c:v>
                </c:pt>
                <c:pt idx="97">
                  <c:v>1.86</c:v>
                </c:pt>
                <c:pt idx="98">
                  <c:v>12.93</c:v>
                </c:pt>
                <c:pt idx="99">
                  <c:v>10.15</c:v>
                </c:pt>
              </c:numCache>
            </c:numRef>
          </c:val>
          <c:smooth val="0"/>
          <c:extLst>
            <c:ext xmlns:c16="http://schemas.microsoft.com/office/drawing/2014/chart" uri="{C3380CC4-5D6E-409C-BE32-E72D297353CC}">
              <c16:uniqueId val="{00000000-E206-4B39-BA05-6BC956D7E4FD}"/>
            </c:ext>
          </c:extLst>
        </c:ser>
        <c:dLbls>
          <c:showLegendKey val="0"/>
          <c:showVal val="0"/>
          <c:showCatName val="0"/>
          <c:showSerName val="0"/>
          <c:showPercent val="0"/>
          <c:showBubbleSize val="0"/>
        </c:dLbls>
        <c:smooth val="0"/>
        <c:axId val="1987758128"/>
        <c:axId val="1987766288"/>
      </c:lineChart>
      <c:dateAx>
        <c:axId val="1987758128"/>
        <c:scaling>
          <c:orientation val="minMax"/>
        </c:scaling>
        <c:delete val="1"/>
        <c:axPos val="b"/>
        <c:numFmt formatCode="[$-13809]dd/mm/yyyy;@" sourceLinked="1"/>
        <c:majorTickMark val="out"/>
        <c:minorTickMark val="none"/>
        <c:tickLblPos val="nextTo"/>
        <c:crossAx val="1987766288"/>
        <c:crosses val="autoZero"/>
        <c:auto val="1"/>
        <c:lblOffset val="100"/>
        <c:baseTimeUnit val="days"/>
      </c:dateAx>
      <c:valAx>
        <c:axId val="19877662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7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[232007_TugasBesar_EksplorasiDanVisualisasiData.xlsx]Keuntungan dan Tingkat Resiko!PivotTable40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 Keuntungan</a:t>
            </a:r>
            <a:r>
              <a:rPr lang="en-US" baseline="0"/>
              <a:t> dengan Tingkat Resiko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'Keuntungan dan Tingkat Resiko'!$C$3</c:f>
              <c:strCache>
                <c:ptCount val="1"/>
                <c:pt idx="0">
                  <c:v>Total</c:v>
                </c:pt>
              </c:strCache>
            </c:strRef>
          </c:tx>
          <c:spPr>
            <a:solidFill>
              <a:schemeClr val="accent1"/>
            </a:solidFill>
            <a:ln>
              <a:noFill/>
            </a:ln>
            <a:effectLst/>
          </c:spPr>
          <c:invertIfNegative val="0"/>
          <c:cat>
            <c:multiLvlStrRef>
              <c:f>'Keuntungan dan Tingkat Resiko'!$A$4:$B$18</c:f>
              <c:multiLvlStrCache>
                <c:ptCount val="15"/>
                <c:lvl>
                  <c:pt idx="0">
                    <c:v>Bonds</c:v>
                  </c:pt>
                  <c:pt idx="1">
                    <c:v>Cryptocurrency</c:v>
                  </c:pt>
                  <c:pt idx="2">
                    <c:v>Mutual Funds</c:v>
                  </c:pt>
                  <c:pt idx="3">
                    <c:v>Real Estate</c:v>
                  </c:pt>
                  <c:pt idx="4">
                    <c:v>Stocks</c:v>
                  </c:pt>
                  <c:pt idx="5">
                    <c:v>Bonds</c:v>
                  </c:pt>
                  <c:pt idx="6">
                    <c:v>Cryptocurrency</c:v>
                  </c:pt>
                  <c:pt idx="7">
                    <c:v>Mutual Funds</c:v>
                  </c:pt>
                  <c:pt idx="8">
                    <c:v>Real Estate</c:v>
                  </c:pt>
                  <c:pt idx="9">
                    <c:v>Stocks</c:v>
                  </c:pt>
                  <c:pt idx="10">
                    <c:v>Bonds</c:v>
                  </c:pt>
                  <c:pt idx="11">
                    <c:v>Cryptocurrency</c:v>
                  </c:pt>
                  <c:pt idx="12">
                    <c:v>Mutual Funds</c:v>
                  </c:pt>
                  <c:pt idx="13">
                    <c:v>Real Estate</c:v>
                  </c:pt>
                  <c:pt idx="14">
                    <c:v>Stocks</c:v>
                  </c:pt>
                </c:lvl>
                <c:lvl>
                  <c:pt idx="0">
                    <c:v>Low</c:v>
                  </c:pt>
                  <c:pt idx="5">
                    <c:v>Medium</c:v>
                  </c:pt>
                  <c:pt idx="10">
                    <c:v>High</c:v>
                  </c:pt>
                </c:lvl>
              </c:multiLvlStrCache>
            </c:multiLvlStrRef>
          </c:cat>
          <c:val>
            <c:numRef>
              <c:f>'Keuntungan dan Tingkat Resiko'!$C$4:$C$18</c:f>
              <c:numCache>
                <c:formatCode>General</c:formatCode>
                <c:ptCount val="15"/>
                <c:pt idx="0">
                  <c:v>34</c:v>
                </c:pt>
                <c:pt idx="1">
                  <c:v>5.9399999999999977</c:v>
                </c:pt>
                <c:pt idx="2">
                  <c:v>53.210000000000008</c:v>
                </c:pt>
                <c:pt idx="3">
                  <c:v>14.24</c:v>
                </c:pt>
                <c:pt idx="4">
                  <c:v>19.149999999999999</c:v>
                </c:pt>
                <c:pt idx="5">
                  <c:v>72.300000000000011</c:v>
                </c:pt>
                <c:pt idx="6">
                  <c:v>31.82</c:v>
                </c:pt>
                <c:pt idx="7">
                  <c:v>65.55</c:v>
                </c:pt>
                <c:pt idx="8">
                  <c:v>39.330000000000005</c:v>
                </c:pt>
                <c:pt idx="9">
                  <c:v>10.440000000000001</c:v>
                </c:pt>
                <c:pt idx="10">
                  <c:v>20.900000000000002</c:v>
                </c:pt>
                <c:pt idx="11">
                  <c:v>11.49</c:v>
                </c:pt>
                <c:pt idx="12">
                  <c:v>36.76</c:v>
                </c:pt>
                <c:pt idx="13">
                  <c:v>65.13</c:v>
                </c:pt>
                <c:pt idx="14">
                  <c:v>20.399999999999999</c:v>
                </c:pt>
              </c:numCache>
            </c:numRef>
          </c:val>
          <c:extLst>
            <c:ext xmlns:c16="http://schemas.microsoft.com/office/drawing/2014/chart" uri="{C3380CC4-5D6E-409C-BE32-E72D297353CC}">
              <c16:uniqueId val="{00000000-4E55-4241-A881-3ABD917574F5}"/>
            </c:ext>
          </c:extLst>
        </c:ser>
        <c:dLbls>
          <c:showLegendKey val="0"/>
          <c:showVal val="0"/>
          <c:showCatName val="0"/>
          <c:showSerName val="0"/>
          <c:showPercent val="0"/>
          <c:showBubbleSize val="0"/>
        </c:dLbls>
        <c:gapWidth val="219"/>
        <c:overlap val="-27"/>
        <c:axId val="1981451536"/>
        <c:axId val="1981452016"/>
      </c:barChart>
      <c:catAx>
        <c:axId val="198145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52016"/>
        <c:crosses val="autoZero"/>
        <c:auto val="1"/>
        <c:lblAlgn val="ctr"/>
        <c:lblOffset val="100"/>
        <c:noMultiLvlLbl val="0"/>
      </c:catAx>
      <c:valAx>
        <c:axId val="198145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51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[232007_TugasBesar_EksplorasiDanVisualisasiData.xlsx]Slicer!PivotTable41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Slicer!$B$3:$B$4</c:f>
              <c:strCache>
                <c:ptCount val="1"/>
                <c:pt idx="0">
                  <c:v>Low</c:v>
                </c:pt>
              </c:strCache>
            </c:strRef>
          </c:tx>
          <c:spPr>
            <a:solidFill>
              <a:schemeClr val="accent1"/>
            </a:solidFill>
            <a:ln>
              <a:noFill/>
            </a:ln>
            <a:effectLst/>
          </c:spPr>
          <c:invertIfNegative val="0"/>
          <c:cat>
            <c:strRef>
              <c:f>Slicer!$A$5:$A$10</c:f>
              <c:strCache>
                <c:ptCount val="5"/>
                <c:pt idx="0">
                  <c:v>Bonds</c:v>
                </c:pt>
                <c:pt idx="1">
                  <c:v>Cryptocurrency</c:v>
                </c:pt>
                <c:pt idx="2">
                  <c:v>Mutual Funds</c:v>
                </c:pt>
                <c:pt idx="3">
                  <c:v>Real Estate</c:v>
                </c:pt>
                <c:pt idx="4">
                  <c:v>Stocks</c:v>
                </c:pt>
              </c:strCache>
            </c:strRef>
          </c:cat>
          <c:val>
            <c:numRef>
              <c:f>Slicer!$B$5:$B$10</c:f>
              <c:numCache>
                <c:formatCode>General</c:formatCode>
                <c:ptCount val="5"/>
                <c:pt idx="0">
                  <c:v>51477.94</c:v>
                </c:pt>
                <c:pt idx="1">
                  <c:v>37411.67</c:v>
                </c:pt>
                <c:pt idx="2">
                  <c:v>73764.320000000007</c:v>
                </c:pt>
                <c:pt idx="3">
                  <c:v>15391.61</c:v>
                </c:pt>
                <c:pt idx="4">
                  <c:v>24397.789999999997</c:v>
                </c:pt>
              </c:numCache>
            </c:numRef>
          </c:val>
          <c:extLst>
            <c:ext xmlns:c16="http://schemas.microsoft.com/office/drawing/2014/chart" uri="{C3380CC4-5D6E-409C-BE32-E72D297353CC}">
              <c16:uniqueId val="{00000000-D4CA-47A3-8B7E-93A0900069CD}"/>
            </c:ext>
          </c:extLst>
        </c:ser>
        <c:ser>
          <c:idx val="1"/>
          <c:order val="1"/>
          <c:tx>
            <c:strRef>
              <c:f>Slicer!$C$3:$C$4</c:f>
              <c:strCache>
                <c:ptCount val="1"/>
                <c:pt idx="0">
                  <c:v>Medium</c:v>
                </c:pt>
              </c:strCache>
            </c:strRef>
          </c:tx>
          <c:spPr>
            <a:solidFill>
              <a:schemeClr val="accent2"/>
            </a:solidFill>
            <a:ln>
              <a:noFill/>
            </a:ln>
            <a:effectLst/>
          </c:spPr>
          <c:invertIfNegative val="0"/>
          <c:cat>
            <c:strRef>
              <c:f>Slicer!$A$5:$A$10</c:f>
              <c:strCache>
                <c:ptCount val="5"/>
                <c:pt idx="0">
                  <c:v>Bonds</c:v>
                </c:pt>
                <c:pt idx="1">
                  <c:v>Cryptocurrency</c:v>
                </c:pt>
                <c:pt idx="2">
                  <c:v>Mutual Funds</c:v>
                </c:pt>
                <c:pt idx="3">
                  <c:v>Real Estate</c:v>
                </c:pt>
                <c:pt idx="4">
                  <c:v>Stocks</c:v>
                </c:pt>
              </c:strCache>
            </c:strRef>
          </c:cat>
          <c:val>
            <c:numRef>
              <c:f>Slicer!$C$5:$C$10</c:f>
              <c:numCache>
                <c:formatCode>General</c:formatCode>
                <c:ptCount val="5"/>
                <c:pt idx="0">
                  <c:v>46455.11</c:v>
                </c:pt>
                <c:pt idx="1">
                  <c:v>48653.16</c:v>
                </c:pt>
                <c:pt idx="2">
                  <c:v>44993.649999999994</c:v>
                </c:pt>
                <c:pt idx="3">
                  <c:v>42082.829999999994</c:v>
                </c:pt>
                <c:pt idx="4">
                  <c:v>29568.38</c:v>
                </c:pt>
              </c:numCache>
            </c:numRef>
          </c:val>
          <c:extLst>
            <c:ext xmlns:c16="http://schemas.microsoft.com/office/drawing/2014/chart" uri="{C3380CC4-5D6E-409C-BE32-E72D297353CC}">
              <c16:uniqueId val="{00000004-D4CA-47A3-8B7E-93A0900069CD}"/>
            </c:ext>
          </c:extLst>
        </c:ser>
        <c:ser>
          <c:idx val="2"/>
          <c:order val="2"/>
          <c:tx>
            <c:strRef>
              <c:f>Slicer!$D$3:$D$4</c:f>
              <c:strCache>
                <c:ptCount val="1"/>
                <c:pt idx="0">
                  <c:v>High</c:v>
                </c:pt>
              </c:strCache>
            </c:strRef>
          </c:tx>
          <c:spPr>
            <a:solidFill>
              <a:schemeClr val="accent3"/>
            </a:solidFill>
            <a:ln>
              <a:noFill/>
            </a:ln>
            <a:effectLst/>
          </c:spPr>
          <c:invertIfNegative val="0"/>
          <c:cat>
            <c:strRef>
              <c:f>Slicer!$A$5:$A$10</c:f>
              <c:strCache>
                <c:ptCount val="5"/>
                <c:pt idx="0">
                  <c:v>Bonds</c:v>
                </c:pt>
                <c:pt idx="1">
                  <c:v>Cryptocurrency</c:v>
                </c:pt>
                <c:pt idx="2">
                  <c:v>Mutual Funds</c:v>
                </c:pt>
                <c:pt idx="3">
                  <c:v>Real Estate</c:v>
                </c:pt>
                <c:pt idx="4">
                  <c:v>Stocks</c:v>
                </c:pt>
              </c:strCache>
            </c:strRef>
          </c:cat>
          <c:val>
            <c:numRef>
              <c:f>Slicer!$D$5:$D$10</c:f>
              <c:numCache>
                <c:formatCode>General</c:formatCode>
                <c:ptCount val="5"/>
                <c:pt idx="0">
                  <c:v>28802.950000000004</c:v>
                </c:pt>
                <c:pt idx="1">
                  <c:v>58795.010000000009</c:v>
                </c:pt>
                <c:pt idx="2">
                  <c:v>35507.89</c:v>
                </c:pt>
                <c:pt idx="3">
                  <c:v>29293.54</c:v>
                </c:pt>
                <c:pt idx="4">
                  <c:v>20469.59</c:v>
                </c:pt>
              </c:numCache>
            </c:numRef>
          </c:val>
          <c:extLst>
            <c:ext xmlns:c16="http://schemas.microsoft.com/office/drawing/2014/chart" uri="{C3380CC4-5D6E-409C-BE32-E72D297353CC}">
              <c16:uniqueId val="{00000005-D4CA-47A3-8B7E-93A0900069CD}"/>
            </c:ext>
          </c:extLst>
        </c:ser>
        <c:dLbls>
          <c:showLegendKey val="0"/>
          <c:showVal val="0"/>
          <c:showCatName val="0"/>
          <c:showSerName val="0"/>
          <c:showPercent val="0"/>
          <c:showBubbleSize val="0"/>
        </c:dLbls>
        <c:gapWidth val="219"/>
        <c:overlap val="-27"/>
        <c:axId val="1981442416"/>
        <c:axId val="1981440976"/>
      </c:barChart>
      <c:catAx>
        <c:axId val="198144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40976"/>
        <c:crosses val="autoZero"/>
        <c:auto val="1"/>
        <c:lblAlgn val="ctr"/>
        <c:lblOffset val="100"/>
        <c:noMultiLvlLbl val="0"/>
      </c:catAx>
      <c:valAx>
        <c:axId val="198144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4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185736</xdr:rowOff>
    </xdr:from>
    <xdr:to>
      <xdr:col>10</xdr:col>
      <xdr:colOff>314325</xdr:colOff>
      <xdr:row>16</xdr:row>
      <xdr:rowOff>171449</xdr:rowOff>
    </xdr:to>
    <xdr:graphicFrame macro="">
      <xdr:nvGraphicFramePr>
        <xdr:cNvPr id="4" name="Chart 3">
          <a:extLst>
            <a:ext uri="{FF2B5EF4-FFF2-40B4-BE49-F238E27FC236}">
              <a16:creationId xmlns:a16="http://schemas.microsoft.com/office/drawing/2014/main" id="{38D83FA4-9083-3F1D-6274-8BFBE62E8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352425</xdr:colOff>
      <xdr:row>1</xdr:row>
      <xdr:rowOff>180975</xdr:rowOff>
    </xdr:from>
    <xdr:to>
      <xdr:col>19</xdr:col>
      <xdr:colOff>9525</xdr:colOff>
      <xdr:row>16</xdr:row>
      <xdr:rowOff>161925</xdr:rowOff>
    </xdr:to>
    <xdr:graphicFrame macro="">
      <xdr:nvGraphicFramePr>
        <xdr:cNvPr id="5" name="Chart 4">
          <a:extLst>
            <a:ext uri="{FF2B5EF4-FFF2-40B4-BE49-F238E27FC236}">
              <a16:creationId xmlns:a16="http://schemas.microsoft.com/office/drawing/2014/main" id="{2B26067E-D48F-4844-BA05-03D2921A0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2</xdr:row>
      <xdr:rowOff>38100</xdr:rowOff>
    </xdr:from>
    <xdr:to>
      <xdr:col>13</xdr:col>
      <xdr:colOff>571500</xdr:colOff>
      <xdr:row>18</xdr:row>
      <xdr:rowOff>119062</xdr:rowOff>
    </xdr:to>
    <xdr:graphicFrame macro="">
      <xdr:nvGraphicFramePr>
        <xdr:cNvPr id="2" name="Chart 1">
          <a:extLst>
            <a:ext uri="{FF2B5EF4-FFF2-40B4-BE49-F238E27FC236}">
              <a16:creationId xmlns:a16="http://schemas.microsoft.com/office/drawing/2014/main" id="{9E1012C0-079F-3657-4CB4-5198A85AA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28575</xdr:rowOff>
    </xdr:from>
    <xdr:to>
      <xdr:col>9</xdr:col>
      <xdr:colOff>0</xdr:colOff>
      <xdr:row>15</xdr:row>
      <xdr:rowOff>76200</xdr:rowOff>
    </xdr:to>
    <mc:AlternateContent xmlns:mc="http://schemas.openxmlformats.org/markup-compatibility/2006">
      <mc:Choice xmlns:a14="http://schemas.microsoft.com/office/drawing/2010/main" Requires="a14">
        <xdr:graphicFrame macro="">
          <xdr:nvGraphicFramePr>
            <xdr:cNvPr id="4" name="Jenis">
              <a:extLst>
                <a:ext uri="{FF2B5EF4-FFF2-40B4-BE49-F238E27FC236}">
                  <a16:creationId xmlns:a16="http://schemas.microsoft.com/office/drawing/2014/main" id="{4BD4E458-1FB7-BAA7-572A-F80345EF1EB1}"/>
                </a:ext>
              </a:extLst>
            </xdr:cNvPr>
            <xdr:cNvGraphicFramePr/>
          </xdr:nvGraphicFramePr>
          <xdr:xfrm>
            <a:off x="0" y="0"/>
            <a:ext cx="0" cy="0"/>
          </xdr:xfrm>
          <a:graphic>
            <a:graphicData uri="http://schemas.microsoft.com/office/drawing/2010/slicer">
              <sle:slicer xmlns:sle="http://schemas.microsoft.com/office/drawing/2010/slicer" name="Jenis"/>
            </a:graphicData>
          </a:graphic>
        </xdr:graphicFrame>
      </mc:Choice>
      <mc:Fallback>
        <xdr:sp macro="" textlink="">
          <xdr:nvSpPr>
            <xdr:cNvPr id="0" name=""/>
            <xdr:cNvSpPr>
              <a:spLocks noTextEdit="1"/>
            </xdr:cNvSpPr>
          </xdr:nvSpPr>
          <xdr:spPr>
            <a:xfrm>
              <a:off x="717232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2</xdr:row>
      <xdr:rowOff>28575</xdr:rowOff>
    </xdr:from>
    <xdr:to>
      <xdr:col>12</xdr:col>
      <xdr:colOff>38100</xdr:colOff>
      <xdr:row>15</xdr:row>
      <xdr:rowOff>76200</xdr:rowOff>
    </xdr:to>
    <mc:AlternateContent xmlns:mc="http://schemas.openxmlformats.org/markup-compatibility/2006">
      <mc:Choice xmlns:a14="http://schemas.microsoft.com/office/drawing/2010/main" Requires="a14">
        <xdr:graphicFrame macro="">
          <xdr:nvGraphicFramePr>
            <xdr:cNvPr id="7" name="Tingkat Resiko">
              <a:extLst>
                <a:ext uri="{FF2B5EF4-FFF2-40B4-BE49-F238E27FC236}">
                  <a16:creationId xmlns:a16="http://schemas.microsoft.com/office/drawing/2014/main" id="{F8572B58-41D1-A118-963E-ACC0E4034DDE}"/>
                </a:ext>
              </a:extLst>
            </xdr:cNvPr>
            <xdr:cNvGraphicFramePr/>
          </xdr:nvGraphicFramePr>
          <xdr:xfrm>
            <a:off x="0" y="0"/>
            <a:ext cx="0" cy="0"/>
          </xdr:xfrm>
          <a:graphic>
            <a:graphicData uri="http://schemas.microsoft.com/office/drawing/2010/slicer">
              <sle:slicer xmlns:sle="http://schemas.microsoft.com/office/drawing/2010/slicer" name="Tingkat Resiko"/>
            </a:graphicData>
          </a:graphic>
        </xdr:graphicFrame>
      </mc:Choice>
      <mc:Fallback>
        <xdr:sp macro="" textlink="">
          <xdr:nvSpPr>
            <xdr:cNvPr id="0" name=""/>
            <xdr:cNvSpPr>
              <a:spLocks noTextEdit="1"/>
            </xdr:cNvSpPr>
          </xdr:nvSpPr>
          <xdr:spPr>
            <a:xfrm>
              <a:off x="9039225" y="40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85725</xdr:colOff>
      <xdr:row>2</xdr:row>
      <xdr:rowOff>33337</xdr:rowOff>
    </xdr:from>
    <xdr:to>
      <xdr:col>19</xdr:col>
      <xdr:colOff>581025</xdr:colOff>
      <xdr:row>17</xdr:row>
      <xdr:rowOff>161925</xdr:rowOff>
    </xdr:to>
    <xdr:graphicFrame macro="">
      <xdr:nvGraphicFramePr>
        <xdr:cNvPr id="8" name="Chart 7">
          <a:extLst>
            <a:ext uri="{FF2B5EF4-FFF2-40B4-BE49-F238E27FC236}">
              <a16:creationId xmlns:a16="http://schemas.microsoft.com/office/drawing/2014/main" id="{3E5117A5-2DEA-BFC2-9364-EA5C55003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mbe'" refreshedDate="45646.997152777774" createdVersion="8" refreshedVersion="8" minRefreshableVersion="3" recordCount="100" xr:uid="{30EE4CD5-DEC6-4F67-9EB1-30A323E94BB5}">
  <cacheSource type="worksheet">
    <worksheetSource ref="A1:E101" sheet="Dataset"/>
  </cacheSource>
  <cacheFields count="5">
    <cacheField name="Tanggal dan Waktu" numFmtId="164">
      <sharedItems containsSemiMixedTypes="0" containsNonDate="0" containsDate="1" containsString="0" minDate="2023-01-01T00:00:00" maxDate="2023-04-11T00:00:00"/>
    </cacheField>
    <cacheField name="Jenis" numFmtId="0">
      <sharedItems count="5">
        <s v="Cryptocurrency"/>
        <s v="Real Estate"/>
        <s v="Stocks"/>
        <s v="Mutual Funds"/>
        <s v="Bonds"/>
      </sharedItems>
    </cacheField>
    <cacheField name="Jumlah (US Dollar)" numFmtId="0">
      <sharedItems containsSemiMixedTypes="0" containsString="0" containsNumber="1" minValue="1404.02" maxValue="9950.32" count="100">
        <n v="9848.2199999999993"/>
        <n v="5318.27"/>
        <n v="8570.81"/>
        <n v="4991.95"/>
        <n v="9555.5"/>
        <n v="8594.89"/>
        <n v="4525.41"/>
        <n v="5760.46"/>
        <n v="6901.38"/>
        <n v="8205.0400000000009"/>
        <n v="3905.02"/>
        <n v="6115.89"/>
        <n v="5149.8900000000003"/>
        <n v="9790.69"/>
        <n v="7130.21"/>
        <n v="7196.41"/>
        <n v="8105.64"/>
        <n v="9323.2099999999991"/>
        <n v="9081.6200000000008"/>
        <n v="5705.09"/>
        <n v="5652.06"/>
        <n v="5308.45"/>
        <n v="3596.65"/>
        <n v="8917.31"/>
        <n v="2031.36"/>
        <n v="2319.0700000000002"/>
        <n v="8724.93"/>
        <n v="7072.1"/>
        <n v="3798.11"/>
        <n v="8163.47"/>
        <n v="9950.32"/>
        <n v="3634.28"/>
        <n v="4713.1000000000004"/>
        <n v="7241.77"/>
        <n v="1539.85"/>
        <n v="7488.36"/>
        <n v="8726.66"/>
        <n v="4125.45"/>
        <n v="9914.35"/>
        <n v="2397.9899999999998"/>
        <n v="3158.95"/>
        <n v="5603.37"/>
        <n v="3671.24"/>
        <n v="9278.26"/>
        <n v="7841.63"/>
        <n v="4776.8999999999996"/>
        <n v="4106.88"/>
        <n v="6758.04"/>
        <n v="2405.35"/>
        <n v="3063.16"/>
        <n v="8513.91"/>
        <n v="9759.41"/>
        <n v="1545.96"/>
        <n v="4562.2299999999996"/>
        <n v="5149.58"/>
        <n v="5228.66"/>
        <n v="1486.14"/>
        <n v="9847.75"/>
        <n v="1571.49"/>
        <n v="1824.51"/>
        <n v="6735.69"/>
        <n v="1853.7"/>
        <n v="8655.92"/>
        <n v="5596.38"/>
        <n v="5800.43"/>
        <n v="7630.71"/>
        <n v="4022.72"/>
        <n v="9140.0400000000009"/>
        <n v="5464.05"/>
        <n v="8560.1200000000008"/>
        <n v="2199.46"/>
        <n v="7340.3"/>
        <n v="9874.07"/>
        <n v="7165.36"/>
        <n v="5369.49"/>
        <n v="4379.87"/>
        <n v="8622.64"/>
        <n v="6719.65"/>
        <n v="6722.48"/>
        <n v="1672.15"/>
        <n v="1404.02"/>
        <n v="3121.41"/>
        <n v="2388.8000000000002"/>
        <n v="5184.62"/>
        <n v="9563.98"/>
        <n v="5642.64"/>
        <n v="1739.91"/>
        <n v="5140.6099999999997"/>
        <n v="7602.21"/>
        <n v="6923.46"/>
        <n v="2886.93"/>
        <n v="8523.2199999999993"/>
        <n v="1765.04"/>
        <n v="4666.4399999999996"/>
        <n v="5396.96"/>
        <n v="8515.85"/>
        <n v="6834.58"/>
        <n v="4973.32"/>
        <n v="9400.0400000000009"/>
        <n v="2621.51"/>
      </sharedItems>
    </cacheField>
    <cacheField name="Keuntungan (Persen)" numFmtId="0">
      <sharedItems containsSemiMixedTypes="0" containsString="0" containsNumber="1" minValue="-4.8" maxValue="14.86" count="98">
        <n v="5.86"/>
        <n v="5.6"/>
        <n v="10.33"/>
        <n v="-4.43"/>
        <n v="-1.34"/>
        <n v="14.78"/>
        <n v="-0.48"/>
        <n v="1.1100000000000001"/>
        <n v="3.76"/>
        <n v="5.55"/>
        <n v="10.220000000000001"/>
        <n v="-4.21"/>
        <n v="-0.49"/>
        <n v="3.11"/>
        <n v="14.09"/>
        <n v="14.04"/>
        <n v="-1.04"/>
        <n v="-4.3899999999999997"/>
        <n v="6.09"/>
        <n v="5.71"/>
        <n v="9.39"/>
        <n v="6.42"/>
        <n v="5.84"/>
        <n v="8.49"/>
        <n v="3.3"/>
        <n v="10.42"/>
        <n v="3.34"/>
        <n v="-4.07"/>
        <n v="8.0399999999999991"/>
        <n v="3.92"/>
        <n v="-3.19"/>
        <n v="-1.02"/>
        <n v="3.83"/>
        <n v="12.76"/>
        <n v="11.7"/>
        <n v="4.25"/>
        <n v="14.21"/>
        <n v="6.23"/>
        <n v="8.48"/>
        <n v="9.4600000000000009"/>
        <n v="-0.96"/>
        <n v="-1.7"/>
        <n v="5.35"/>
        <n v="4.8"/>
        <n v="-2.67"/>
        <n v="9.1300000000000008"/>
        <n v="3.37"/>
        <n v="-4.18"/>
        <n v="0.88"/>
        <n v="9.67"/>
        <n v="-2.94"/>
        <n v="2.5299999999999998"/>
        <n v="4.28"/>
        <n v="14.42"/>
        <n v="-3.61"/>
        <n v="3.79"/>
        <n v="14.82"/>
        <n v="-0.34"/>
        <n v="-1.65"/>
        <n v="7.13"/>
        <n v="12.46"/>
        <n v="7.11"/>
        <n v="-1.91"/>
        <n v="2.99"/>
        <n v="11.37"/>
        <n v="2.75"/>
        <n v="-3.15"/>
        <n v="8.4700000000000006"/>
        <n v="2.13"/>
        <n v="-3.57"/>
        <n v="7.32"/>
        <n v="14.77"/>
        <n v="9.57"/>
        <n v="-1.35"/>
        <n v="-2.69"/>
        <n v="-3.26"/>
        <n v="11.27"/>
        <n v="-4.8"/>
        <n v="-3.87"/>
        <n v="14.57"/>
        <n v="1.93"/>
        <n v="14.86"/>
        <n v="9.56"/>
        <n v="12.67"/>
        <n v="2.96"/>
        <n v="6.73"/>
        <n v="8.15"/>
        <n v="13.85"/>
        <n v="5.27"/>
        <n v="7.7"/>
        <n v="0.41"/>
        <n v="6.94"/>
        <n v="9.4700000000000006"/>
        <n v="14.38"/>
        <n v="8.36"/>
        <n v="1.86"/>
        <n v="12.93"/>
        <n v="10.15"/>
      </sharedItems>
    </cacheField>
    <cacheField name="Tingkat Resiko" numFmtId="0">
      <sharedItems count="3">
        <s v="Medium"/>
        <s v="Low"/>
        <s v="High"/>
      </sharedItems>
    </cacheField>
  </cacheFields>
  <extLst>
    <ext xmlns:x14="http://schemas.microsoft.com/office/spreadsheetml/2009/9/main" uri="{725AE2AE-9491-48be-B2B4-4EB974FC3084}">
      <x14:pivotCacheDefinition pivotCacheId="213237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mbe'" refreshedDate="45647.133223032404" createdVersion="8" refreshedVersion="8" minRefreshableVersion="3" recordCount="100" xr:uid="{E36CAE60-5FD3-4FE9-AF8A-4305F51FCD3C}">
  <cacheSource type="worksheet">
    <worksheetSource ref="A1:E101" sheet="Dataset"/>
  </cacheSource>
  <cacheFields count="5">
    <cacheField name="Tanggal dan Waktu" numFmtId="166">
      <sharedItems containsSemiMixedTypes="0" containsNonDate="0" containsDate="1" containsString="0" minDate="2023-01-01T00:00:00" maxDate="2023-04-11T00:00:00"/>
    </cacheField>
    <cacheField name="Jenis" numFmtId="0">
      <sharedItems count="5">
        <s v="Cryptocurrency"/>
        <s v="Real Estate"/>
        <s v="Stocks"/>
        <s v="Mutual Funds"/>
        <s v="Bonds"/>
      </sharedItems>
    </cacheField>
    <cacheField name="Jumlah (US Dollar)" numFmtId="0">
      <sharedItems containsSemiMixedTypes="0" containsString="0" containsNumber="1" minValue="1404.02" maxValue="9950.32"/>
    </cacheField>
    <cacheField name="Keuntungan (Persen)" numFmtId="0">
      <sharedItems containsSemiMixedTypes="0" containsString="0" containsNumber="1" minValue="-4.8" maxValue="14.86"/>
    </cacheField>
    <cacheField name="Tingkat Resiko" numFmtId="0">
      <sharedItems count="3">
        <s v="Medium"/>
        <s v="Low"/>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3-01-01T00:00:00"/>
    <x v="0"/>
    <x v="0"/>
    <x v="0"/>
    <x v="0"/>
  </r>
  <r>
    <d v="2023-01-02T00:00:00"/>
    <x v="1"/>
    <x v="1"/>
    <x v="1"/>
    <x v="0"/>
  </r>
  <r>
    <d v="2023-01-03T00:00:00"/>
    <x v="2"/>
    <x v="2"/>
    <x v="2"/>
    <x v="1"/>
  </r>
  <r>
    <d v="2023-01-04T00:00:00"/>
    <x v="3"/>
    <x v="3"/>
    <x v="3"/>
    <x v="1"/>
  </r>
  <r>
    <d v="2023-01-05T00:00:00"/>
    <x v="3"/>
    <x v="4"/>
    <x v="4"/>
    <x v="1"/>
  </r>
  <r>
    <d v="2023-01-06T00:00:00"/>
    <x v="2"/>
    <x v="5"/>
    <x v="5"/>
    <x v="2"/>
  </r>
  <r>
    <d v="2023-01-07T00:00:00"/>
    <x v="2"/>
    <x v="6"/>
    <x v="6"/>
    <x v="0"/>
  </r>
  <r>
    <d v="2023-01-08T00:00:00"/>
    <x v="0"/>
    <x v="7"/>
    <x v="7"/>
    <x v="0"/>
  </r>
  <r>
    <d v="2023-01-09T00:00:00"/>
    <x v="2"/>
    <x v="8"/>
    <x v="8"/>
    <x v="2"/>
  </r>
  <r>
    <d v="2023-01-10T00:00:00"/>
    <x v="0"/>
    <x v="9"/>
    <x v="9"/>
    <x v="0"/>
  </r>
  <r>
    <d v="2023-01-11T00:00:00"/>
    <x v="1"/>
    <x v="10"/>
    <x v="10"/>
    <x v="2"/>
  </r>
  <r>
    <d v="2023-01-12T00:00:00"/>
    <x v="0"/>
    <x v="11"/>
    <x v="11"/>
    <x v="2"/>
  </r>
  <r>
    <d v="2023-01-13T00:00:00"/>
    <x v="3"/>
    <x v="12"/>
    <x v="12"/>
    <x v="0"/>
  </r>
  <r>
    <d v="2023-01-14T00:00:00"/>
    <x v="4"/>
    <x v="13"/>
    <x v="13"/>
    <x v="1"/>
  </r>
  <r>
    <d v="2023-01-15T00:00:00"/>
    <x v="4"/>
    <x v="14"/>
    <x v="14"/>
    <x v="0"/>
  </r>
  <r>
    <d v="2023-01-16T00:00:00"/>
    <x v="3"/>
    <x v="15"/>
    <x v="15"/>
    <x v="1"/>
  </r>
  <r>
    <d v="2023-01-17T00:00:00"/>
    <x v="4"/>
    <x v="16"/>
    <x v="16"/>
    <x v="1"/>
  </r>
  <r>
    <d v="2023-01-18T00:00:00"/>
    <x v="0"/>
    <x v="17"/>
    <x v="17"/>
    <x v="1"/>
  </r>
  <r>
    <d v="2023-01-19T00:00:00"/>
    <x v="4"/>
    <x v="18"/>
    <x v="18"/>
    <x v="0"/>
  </r>
  <r>
    <d v="2023-01-20T00:00:00"/>
    <x v="3"/>
    <x v="19"/>
    <x v="19"/>
    <x v="2"/>
  </r>
  <r>
    <d v="2023-01-21T00:00:00"/>
    <x v="3"/>
    <x v="20"/>
    <x v="20"/>
    <x v="1"/>
  </r>
  <r>
    <d v="2023-01-22T00:00:00"/>
    <x v="1"/>
    <x v="21"/>
    <x v="21"/>
    <x v="2"/>
  </r>
  <r>
    <d v="2023-01-23T00:00:00"/>
    <x v="1"/>
    <x v="22"/>
    <x v="22"/>
    <x v="2"/>
  </r>
  <r>
    <d v="2023-01-24T00:00:00"/>
    <x v="0"/>
    <x v="23"/>
    <x v="23"/>
    <x v="2"/>
  </r>
  <r>
    <d v="2023-01-25T00:00:00"/>
    <x v="1"/>
    <x v="24"/>
    <x v="24"/>
    <x v="0"/>
  </r>
  <r>
    <d v="2023-01-26T00:00:00"/>
    <x v="1"/>
    <x v="25"/>
    <x v="25"/>
    <x v="2"/>
  </r>
  <r>
    <d v="2023-01-27T00:00:00"/>
    <x v="4"/>
    <x v="26"/>
    <x v="26"/>
    <x v="2"/>
  </r>
  <r>
    <d v="2023-01-28T00:00:00"/>
    <x v="0"/>
    <x v="27"/>
    <x v="27"/>
    <x v="1"/>
  </r>
  <r>
    <d v="2023-01-29T00:00:00"/>
    <x v="0"/>
    <x v="28"/>
    <x v="28"/>
    <x v="1"/>
  </r>
  <r>
    <d v="2023-01-30T00:00:00"/>
    <x v="2"/>
    <x v="29"/>
    <x v="29"/>
    <x v="1"/>
  </r>
  <r>
    <d v="2023-01-31T00:00:00"/>
    <x v="0"/>
    <x v="30"/>
    <x v="30"/>
    <x v="2"/>
  </r>
  <r>
    <d v="2023-02-01T00:00:00"/>
    <x v="2"/>
    <x v="31"/>
    <x v="31"/>
    <x v="0"/>
  </r>
  <r>
    <d v="2023-02-02T00:00:00"/>
    <x v="4"/>
    <x v="32"/>
    <x v="32"/>
    <x v="1"/>
  </r>
  <r>
    <d v="2023-02-03T00:00:00"/>
    <x v="0"/>
    <x v="33"/>
    <x v="33"/>
    <x v="0"/>
  </r>
  <r>
    <d v="2023-02-04T00:00:00"/>
    <x v="3"/>
    <x v="34"/>
    <x v="34"/>
    <x v="0"/>
  </r>
  <r>
    <d v="2023-02-05T00:00:00"/>
    <x v="4"/>
    <x v="35"/>
    <x v="35"/>
    <x v="2"/>
  </r>
  <r>
    <d v="2023-02-06T00:00:00"/>
    <x v="3"/>
    <x v="36"/>
    <x v="36"/>
    <x v="0"/>
  </r>
  <r>
    <d v="2023-02-07T00:00:00"/>
    <x v="4"/>
    <x v="37"/>
    <x v="37"/>
    <x v="0"/>
  </r>
  <r>
    <d v="2023-02-08T00:00:00"/>
    <x v="3"/>
    <x v="38"/>
    <x v="38"/>
    <x v="1"/>
  </r>
  <r>
    <d v="2023-02-09T00:00:00"/>
    <x v="1"/>
    <x v="39"/>
    <x v="39"/>
    <x v="0"/>
  </r>
  <r>
    <d v="2023-02-10T00:00:00"/>
    <x v="3"/>
    <x v="40"/>
    <x v="40"/>
    <x v="2"/>
  </r>
  <r>
    <d v="2023-02-11T00:00:00"/>
    <x v="0"/>
    <x v="41"/>
    <x v="41"/>
    <x v="2"/>
  </r>
  <r>
    <d v="2023-02-12T00:00:00"/>
    <x v="3"/>
    <x v="42"/>
    <x v="42"/>
    <x v="0"/>
  </r>
  <r>
    <d v="2023-02-13T00:00:00"/>
    <x v="4"/>
    <x v="43"/>
    <x v="43"/>
    <x v="2"/>
  </r>
  <r>
    <d v="2023-02-14T00:00:00"/>
    <x v="0"/>
    <x v="44"/>
    <x v="44"/>
    <x v="0"/>
  </r>
  <r>
    <d v="2023-02-15T00:00:00"/>
    <x v="3"/>
    <x v="45"/>
    <x v="45"/>
    <x v="2"/>
  </r>
  <r>
    <d v="2023-02-16T00:00:00"/>
    <x v="1"/>
    <x v="46"/>
    <x v="46"/>
    <x v="2"/>
  </r>
  <r>
    <d v="2023-02-17T00:00:00"/>
    <x v="0"/>
    <x v="47"/>
    <x v="47"/>
    <x v="2"/>
  </r>
  <r>
    <d v="2023-02-18T00:00:00"/>
    <x v="4"/>
    <x v="48"/>
    <x v="48"/>
    <x v="1"/>
  </r>
  <r>
    <d v="2023-02-19T00:00:00"/>
    <x v="1"/>
    <x v="49"/>
    <x v="49"/>
    <x v="2"/>
  </r>
  <r>
    <d v="2023-02-20T00:00:00"/>
    <x v="4"/>
    <x v="50"/>
    <x v="50"/>
    <x v="1"/>
  </r>
  <r>
    <d v="2023-02-21T00:00:00"/>
    <x v="1"/>
    <x v="51"/>
    <x v="51"/>
    <x v="0"/>
  </r>
  <r>
    <d v="2023-02-22T00:00:00"/>
    <x v="3"/>
    <x v="52"/>
    <x v="52"/>
    <x v="0"/>
  </r>
  <r>
    <d v="2023-02-23T00:00:00"/>
    <x v="4"/>
    <x v="53"/>
    <x v="53"/>
    <x v="0"/>
  </r>
  <r>
    <d v="2023-02-24T00:00:00"/>
    <x v="3"/>
    <x v="54"/>
    <x v="54"/>
    <x v="1"/>
  </r>
  <r>
    <d v="2023-02-25T00:00:00"/>
    <x v="3"/>
    <x v="55"/>
    <x v="55"/>
    <x v="1"/>
  </r>
  <r>
    <d v="2023-02-26T00:00:00"/>
    <x v="3"/>
    <x v="56"/>
    <x v="56"/>
    <x v="1"/>
  </r>
  <r>
    <d v="2023-02-27T00:00:00"/>
    <x v="3"/>
    <x v="57"/>
    <x v="57"/>
    <x v="2"/>
  </r>
  <r>
    <d v="2023-02-28T00:00:00"/>
    <x v="4"/>
    <x v="58"/>
    <x v="9"/>
    <x v="2"/>
  </r>
  <r>
    <d v="2023-03-01T00:00:00"/>
    <x v="0"/>
    <x v="59"/>
    <x v="58"/>
    <x v="2"/>
  </r>
  <r>
    <d v="2023-03-02T00:00:00"/>
    <x v="1"/>
    <x v="60"/>
    <x v="59"/>
    <x v="1"/>
  </r>
  <r>
    <d v="2023-03-03T00:00:00"/>
    <x v="1"/>
    <x v="61"/>
    <x v="60"/>
    <x v="2"/>
  </r>
  <r>
    <d v="2023-03-04T00:00:00"/>
    <x v="1"/>
    <x v="62"/>
    <x v="61"/>
    <x v="1"/>
  </r>
  <r>
    <d v="2023-03-05T00:00:00"/>
    <x v="3"/>
    <x v="63"/>
    <x v="62"/>
    <x v="1"/>
  </r>
  <r>
    <d v="2023-03-06T00:00:00"/>
    <x v="3"/>
    <x v="64"/>
    <x v="63"/>
    <x v="1"/>
  </r>
  <r>
    <d v="2023-03-07T00:00:00"/>
    <x v="3"/>
    <x v="65"/>
    <x v="64"/>
    <x v="0"/>
  </r>
  <r>
    <d v="2023-03-08T00:00:00"/>
    <x v="4"/>
    <x v="66"/>
    <x v="65"/>
    <x v="1"/>
  </r>
  <r>
    <d v="2023-03-09T00:00:00"/>
    <x v="2"/>
    <x v="67"/>
    <x v="66"/>
    <x v="0"/>
  </r>
  <r>
    <d v="2023-03-10T00:00:00"/>
    <x v="2"/>
    <x v="68"/>
    <x v="67"/>
    <x v="1"/>
  </r>
  <r>
    <d v="2023-03-11T00:00:00"/>
    <x v="4"/>
    <x v="69"/>
    <x v="68"/>
    <x v="0"/>
  </r>
  <r>
    <d v="2023-03-12T00:00:00"/>
    <x v="2"/>
    <x v="70"/>
    <x v="69"/>
    <x v="1"/>
  </r>
  <r>
    <d v="2023-03-13T00:00:00"/>
    <x v="1"/>
    <x v="71"/>
    <x v="70"/>
    <x v="0"/>
  </r>
  <r>
    <d v="2023-03-14T00:00:00"/>
    <x v="4"/>
    <x v="72"/>
    <x v="71"/>
    <x v="0"/>
  </r>
  <r>
    <d v="2023-03-15T00:00:00"/>
    <x v="3"/>
    <x v="73"/>
    <x v="72"/>
    <x v="0"/>
  </r>
  <r>
    <d v="2023-03-16T00:00:00"/>
    <x v="0"/>
    <x v="74"/>
    <x v="73"/>
    <x v="0"/>
  </r>
  <r>
    <d v="2023-03-17T00:00:00"/>
    <x v="0"/>
    <x v="75"/>
    <x v="16"/>
    <x v="2"/>
  </r>
  <r>
    <d v="2023-03-18T00:00:00"/>
    <x v="0"/>
    <x v="76"/>
    <x v="74"/>
    <x v="1"/>
  </r>
  <r>
    <d v="2023-03-19T00:00:00"/>
    <x v="1"/>
    <x v="77"/>
    <x v="75"/>
    <x v="0"/>
  </r>
  <r>
    <d v="2023-03-20T00:00:00"/>
    <x v="0"/>
    <x v="78"/>
    <x v="76"/>
    <x v="2"/>
  </r>
  <r>
    <d v="2023-03-21T00:00:00"/>
    <x v="0"/>
    <x v="79"/>
    <x v="77"/>
    <x v="1"/>
  </r>
  <r>
    <d v="2023-03-22T00:00:00"/>
    <x v="3"/>
    <x v="80"/>
    <x v="78"/>
    <x v="1"/>
  </r>
  <r>
    <d v="2023-03-23T00:00:00"/>
    <x v="4"/>
    <x v="81"/>
    <x v="79"/>
    <x v="0"/>
  </r>
  <r>
    <d v="2023-03-24T00:00:00"/>
    <x v="3"/>
    <x v="82"/>
    <x v="80"/>
    <x v="1"/>
  </r>
  <r>
    <d v="2023-03-25T00:00:00"/>
    <x v="3"/>
    <x v="83"/>
    <x v="81"/>
    <x v="2"/>
  </r>
  <r>
    <d v="2023-03-26T00:00:00"/>
    <x v="3"/>
    <x v="84"/>
    <x v="82"/>
    <x v="0"/>
  </r>
  <r>
    <d v="2023-03-27T00:00:00"/>
    <x v="4"/>
    <x v="85"/>
    <x v="83"/>
    <x v="1"/>
  </r>
  <r>
    <d v="2023-03-28T00:00:00"/>
    <x v="4"/>
    <x v="86"/>
    <x v="84"/>
    <x v="2"/>
  </r>
  <r>
    <d v="2023-03-29T00:00:00"/>
    <x v="1"/>
    <x v="87"/>
    <x v="85"/>
    <x v="2"/>
  </r>
  <r>
    <d v="2023-03-30T00:00:00"/>
    <x v="2"/>
    <x v="88"/>
    <x v="86"/>
    <x v="0"/>
  </r>
  <r>
    <d v="2023-03-31T00:00:00"/>
    <x v="0"/>
    <x v="89"/>
    <x v="87"/>
    <x v="1"/>
  </r>
  <r>
    <d v="2023-04-01T00:00:00"/>
    <x v="4"/>
    <x v="90"/>
    <x v="88"/>
    <x v="1"/>
  </r>
  <r>
    <d v="2023-04-02T00:00:00"/>
    <x v="0"/>
    <x v="91"/>
    <x v="89"/>
    <x v="2"/>
  </r>
  <r>
    <d v="2023-04-03T00:00:00"/>
    <x v="0"/>
    <x v="92"/>
    <x v="90"/>
    <x v="0"/>
  </r>
  <r>
    <d v="2023-04-04T00:00:00"/>
    <x v="2"/>
    <x v="93"/>
    <x v="91"/>
    <x v="0"/>
  </r>
  <r>
    <d v="2023-04-05T00:00:00"/>
    <x v="4"/>
    <x v="94"/>
    <x v="92"/>
    <x v="1"/>
  </r>
  <r>
    <d v="2023-04-06T00:00:00"/>
    <x v="1"/>
    <x v="95"/>
    <x v="93"/>
    <x v="0"/>
  </r>
  <r>
    <d v="2023-04-07T00:00:00"/>
    <x v="3"/>
    <x v="96"/>
    <x v="94"/>
    <x v="2"/>
  </r>
  <r>
    <d v="2023-04-08T00:00:00"/>
    <x v="2"/>
    <x v="97"/>
    <x v="95"/>
    <x v="2"/>
  </r>
  <r>
    <d v="2023-04-09T00:00:00"/>
    <x v="3"/>
    <x v="98"/>
    <x v="96"/>
    <x v="1"/>
  </r>
  <r>
    <d v="2023-04-10T00:00:00"/>
    <x v="0"/>
    <x v="99"/>
    <x v="9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3-01-01T00:00:00"/>
    <x v="0"/>
    <n v="9848.2199999999993"/>
    <n v="5.86"/>
    <x v="0"/>
  </r>
  <r>
    <d v="2023-01-02T00:00:00"/>
    <x v="1"/>
    <n v="5318.27"/>
    <n v="5.6"/>
    <x v="0"/>
  </r>
  <r>
    <d v="2023-01-03T00:00:00"/>
    <x v="2"/>
    <n v="8570.81"/>
    <n v="10.33"/>
    <x v="1"/>
  </r>
  <r>
    <d v="2023-01-04T00:00:00"/>
    <x v="3"/>
    <n v="4991.95"/>
    <n v="-4.43"/>
    <x v="1"/>
  </r>
  <r>
    <d v="2023-01-05T00:00:00"/>
    <x v="3"/>
    <n v="9555.5"/>
    <n v="-1.34"/>
    <x v="1"/>
  </r>
  <r>
    <d v="2023-01-06T00:00:00"/>
    <x v="2"/>
    <n v="8594.89"/>
    <n v="14.78"/>
    <x v="2"/>
  </r>
  <r>
    <d v="2023-01-07T00:00:00"/>
    <x v="2"/>
    <n v="4525.41"/>
    <n v="-0.48"/>
    <x v="0"/>
  </r>
  <r>
    <d v="2023-01-08T00:00:00"/>
    <x v="0"/>
    <n v="5760.46"/>
    <n v="1.1100000000000001"/>
    <x v="0"/>
  </r>
  <r>
    <d v="2023-01-09T00:00:00"/>
    <x v="2"/>
    <n v="6901.38"/>
    <n v="3.76"/>
    <x v="2"/>
  </r>
  <r>
    <d v="2023-01-10T00:00:00"/>
    <x v="0"/>
    <n v="8205.0400000000009"/>
    <n v="5.55"/>
    <x v="0"/>
  </r>
  <r>
    <d v="2023-01-11T00:00:00"/>
    <x v="1"/>
    <n v="3905.02"/>
    <n v="10.220000000000001"/>
    <x v="2"/>
  </r>
  <r>
    <d v="2023-01-12T00:00:00"/>
    <x v="0"/>
    <n v="6115.89"/>
    <n v="-4.21"/>
    <x v="2"/>
  </r>
  <r>
    <d v="2023-01-13T00:00:00"/>
    <x v="3"/>
    <n v="5149.8900000000003"/>
    <n v="-0.49"/>
    <x v="0"/>
  </r>
  <r>
    <d v="2023-01-14T00:00:00"/>
    <x v="4"/>
    <n v="9790.69"/>
    <n v="3.11"/>
    <x v="1"/>
  </r>
  <r>
    <d v="2023-01-15T00:00:00"/>
    <x v="4"/>
    <n v="7130.21"/>
    <n v="14.09"/>
    <x v="0"/>
  </r>
  <r>
    <d v="2023-01-16T00:00:00"/>
    <x v="3"/>
    <n v="7196.41"/>
    <n v="14.04"/>
    <x v="1"/>
  </r>
  <r>
    <d v="2023-01-17T00:00:00"/>
    <x v="4"/>
    <n v="8105.64"/>
    <n v="-1.04"/>
    <x v="1"/>
  </r>
  <r>
    <d v="2023-01-18T00:00:00"/>
    <x v="0"/>
    <n v="9323.2099999999991"/>
    <n v="-4.3899999999999997"/>
    <x v="1"/>
  </r>
  <r>
    <d v="2023-01-19T00:00:00"/>
    <x v="4"/>
    <n v="9081.6200000000008"/>
    <n v="6.09"/>
    <x v="0"/>
  </r>
  <r>
    <d v="2023-01-20T00:00:00"/>
    <x v="3"/>
    <n v="5705.09"/>
    <n v="5.71"/>
    <x v="2"/>
  </r>
  <r>
    <d v="2023-01-21T00:00:00"/>
    <x v="3"/>
    <n v="5652.06"/>
    <n v="9.39"/>
    <x v="1"/>
  </r>
  <r>
    <d v="2023-01-22T00:00:00"/>
    <x v="1"/>
    <n v="5308.45"/>
    <n v="6.42"/>
    <x v="2"/>
  </r>
  <r>
    <d v="2023-01-23T00:00:00"/>
    <x v="1"/>
    <n v="3596.65"/>
    <n v="5.84"/>
    <x v="2"/>
  </r>
  <r>
    <d v="2023-01-24T00:00:00"/>
    <x v="0"/>
    <n v="8917.31"/>
    <n v="8.49"/>
    <x v="2"/>
  </r>
  <r>
    <d v="2023-01-25T00:00:00"/>
    <x v="1"/>
    <n v="2031.36"/>
    <n v="3.3"/>
    <x v="0"/>
  </r>
  <r>
    <d v="2023-01-26T00:00:00"/>
    <x v="1"/>
    <n v="2319.0700000000002"/>
    <n v="10.42"/>
    <x v="2"/>
  </r>
  <r>
    <d v="2023-01-27T00:00:00"/>
    <x v="4"/>
    <n v="8724.93"/>
    <n v="3.34"/>
    <x v="2"/>
  </r>
  <r>
    <d v="2023-01-28T00:00:00"/>
    <x v="0"/>
    <n v="7072.1"/>
    <n v="-4.07"/>
    <x v="1"/>
  </r>
  <r>
    <d v="2023-01-29T00:00:00"/>
    <x v="0"/>
    <n v="3798.11"/>
    <n v="8.0399999999999991"/>
    <x v="1"/>
  </r>
  <r>
    <d v="2023-01-30T00:00:00"/>
    <x v="2"/>
    <n v="8163.47"/>
    <n v="3.92"/>
    <x v="1"/>
  </r>
  <r>
    <d v="2023-01-31T00:00:00"/>
    <x v="0"/>
    <n v="9950.32"/>
    <n v="-3.19"/>
    <x v="2"/>
  </r>
  <r>
    <d v="2023-02-01T00:00:00"/>
    <x v="2"/>
    <n v="3634.28"/>
    <n v="-1.02"/>
    <x v="0"/>
  </r>
  <r>
    <d v="2023-02-02T00:00:00"/>
    <x v="4"/>
    <n v="4713.1000000000004"/>
    <n v="3.83"/>
    <x v="1"/>
  </r>
  <r>
    <d v="2023-02-03T00:00:00"/>
    <x v="0"/>
    <n v="7241.77"/>
    <n v="12.76"/>
    <x v="0"/>
  </r>
  <r>
    <d v="2023-02-04T00:00:00"/>
    <x v="3"/>
    <n v="1539.85"/>
    <n v="11.7"/>
    <x v="0"/>
  </r>
  <r>
    <d v="2023-02-05T00:00:00"/>
    <x v="4"/>
    <n v="7488.36"/>
    <n v="4.25"/>
    <x v="2"/>
  </r>
  <r>
    <d v="2023-02-06T00:00:00"/>
    <x v="3"/>
    <n v="8726.66"/>
    <n v="14.21"/>
    <x v="0"/>
  </r>
  <r>
    <d v="2023-02-07T00:00:00"/>
    <x v="4"/>
    <n v="4125.45"/>
    <n v="6.23"/>
    <x v="0"/>
  </r>
  <r>
    <d v="2023-02-08T00:00:00"/>
    <x v="3"/>
    <n v="9914.35"/>
    <n v="8.48"/>
    <x v="1"/>
  </r>
  <r>
    <d v="2023-02-09T00:00:00"/>
    <x v="1"/>
    <n v="2397.9899999999998"/>
    <n v="9.4600000000000009"/>
    <x v="0"/>
  </r>
  <r>
    <d v="2023-02-10T00:00:00"/>
    <x v="3"/>
    <n v="3158.95"/>
    <n v="-0.96"/>
    <x v="2"/>
  </r>
  <r>
    <d v="2023-02-11T00:00:00"/>
    <x v="0"/>
    <n v="5603.37"/>
    <n v="-1.7"/>
    <x v="2"/>
  </r>
  <r>
    <d v="2023-02-12T00:00:00"/>
    <x v="3"/>
    <n v="3671.24"/>
    <n v="5.35"/>
    <x v="0"/>
  </r>
  <r>
    <d v="2023-02-13T00:00:00"/>
    <x v="4"/>
    <n v="9278.26"/>
    <n v="4.8"/>
    <x v="2"/>
  </r>
  <r>
    <d v="2023-02-14T00:00:00"/>
    <x v="0"/>
    <n v="7841.63"/>
    <n v="-2.67"/>
    <x v="0"/>
  </r>
  <r>
    <d v="2023-02-15T00:00:00"/>
    <x v="3"/>
    <n v="4776.8999999999996"/>
    <n v="9.1300000000000008"/>
    <x v="2"/>
  </r>
  <r>
    <d v="2023-02-16T00:00:00"/>
    <x v="1"/>
    <n v="4106.88"/>
    <n v="3.37"/>
    <x v="2"/>
  </r>
  <r>
    <d v="2023-02-17T00:00:00"/>
    <x v="0"/>
    <n v="6758.04"/>
    <n v="-4.18"/>
    <x v="2"/>
  </r>
  <r>
    <d v="2023-02-18T00:00:00"/>
    <x v="4"/>
    <n v="2405.35"/>
    <n v="0.88"/>
    <x v="1"/>
  </r>
  <r>
    <d v="2023-02-19T00:00:00"/>
    <x v="1"/>
    <n v="3063.16"/>
    <n v="9.67"/>
    <x v="2"/>
  </r>
  <r>
    <d v="2023-02-20T00:00:00"/>
    <x v="4"/>
    <n v="8513.91"/>
    <n v="-2.94"/>
    <x v="1"/>
  </r>
  <r>
    <d v="2023-02-21T00:00:00"/>
    <x v="1"/>
    <n v="9759.41"/>
    <n v="2.5299999999999998"/>
    <x v="0"/>
  </r>
  <r>
    <d v="2023-02-22T00:00:00"/>
    <x v="3"/>
    <n v="1545.96"/>
    <n v="4.28"/>
    <x v="0"/>
  </r>
  <r>
    <d v="2023-02-23T00:00:00"/>
    <x v="4"/>
    <n v="4562.2299999999996"/>
    <n v="14.42"/>
    <x v="0"/>
  </r>
  <r>
    <d v="2023-02-24T00:00:00"/>
    <x v="3"/>
    <n v="5149.58"/>
    <n v="-3.61"/>
    <x v="1"/>
  </r>
  <r>
    <d v="2023-02-25T00:00:00"/>
    <x v="3"/>
    <n v="5228.66"/>
    <n v="3.79"/>
    <x v="1"/>
  </r>
  <r>
    <d v="2023-02-26T00:00:00"/>
    <x v="3"/>
    <n v="1486.14"/>
    <n v="14.82"/>
    <x v="1"/>
  </r>
  <r>
    <d v="2023-02-27T00:00:00"/>
    <x v="3"/>
    <n v="9847.75"/>
    <n v="-0.34"/>
    <x v="2"/>
  </r>
  <r>
    <d v="2023-02-28T00:00:00"/>
    <x v="4"/>
    <n v="1571.49"/>
    <n v="5.55"/>
    <x v="2"/>
  </r>
  <r>
    <d v="2023-03-01T00:00:00"/>
    <x v="0"/>
    <n v="1824.51"/>
    <n v="-1.65"/>
    <x v="2"/>
  </r>
  <r>
    <d v="2023-03-02T00:00:00"/>
    <x v="1"/>
    <n v="6735.69"/>
    <n v="7.13"/>
    <x v="1"/>
  </r>
  <r>
    <d v="2023-03-03T00:00:00"/>
    <x v="1"/>
    <n v="1853.7"/>
    <n v="12.46"/>
    <x v="2"/>
  </r>
  <r>
    <d v="2023-03-04T00:00:00"/>
    <x v="1"/>
    <n v="8655.92"/>
    <n v="7.11"/>
    <x v="1"/>
  </r>
  <r>
    <d v="2023-03-05T00:00:00"/>
    <x v="3"/>
    <n v="5596.38"/>
    <n v="-1.91"/>
    <x v="1"/>
  </r>
  <r>
    <d v="2023-03-06T00:00:00"/>
    <x v="3"/>
    <n v="5800.43"/>
    <n v="2.99"/>
    <x v="1"/>
  </r>
  <r>
    <d v="2023-03-07T00:00:00"/>
    <x v="3"/>
    <n v="7630.71"/>
    <n v="11.37"/>
    <x v="0"/>
  </r>
  <r>
    <d v="2023-03-08T00:00:00"/>
    <x v="4"/>
    <n v="4022.72"/>
    <n v="2.75"/>
    <x v="1"/>
  </r>
  <r>
    <d v="2023-03-09T00:00:00"/>
    <x v="2"/>
    <n v="9140.0400000000009"/>
    <n v="-3.15"/>
    <x v="0"/>
  </r>
  <r>
    <d v="2023-03-10T00:00:00"/>
    <x v="2"/>
    <n v="5464.05"/>
    <n v="8.4700000000000006"/>
    <x v="1"/>
  </r>
  <r>
    <d v="2023-03-11T00:00:00"/>
    <x v="4"/>
    <n v="8560.1200000000008"/>
    <n v="2.13"/>
    <x v="0"/>
  </r>
  <r>
    <d v="2023-03-12T00:00:00"/>
    <x v="2"/>
    <n v="2199.46"/>
    <n v="-3.57"/>
    <x v="1"/>
  </r>
  <r>
    <d v="2023-03-13T00:00:00"/>
    <x v="1"/>
    <n v="7340.3"/>
    <n v="7.32"/>
    <x v="0"/>
  </r>
  <r>
    <d v="2023-03-14T00:00:00"/>
    <x v="4"/>
    <n v="9874.07"/>
    <n v="14.77"/>
    <x v="0"/>
  </r>
  <r>
    <d v="2023-03-15T00:00:00"/>
    <x v="3"/>
    <n v="7165.36"/>
    <n v="9.57"/>
    <x v="0"/>
  </r>
  <r>
    <d v="2023-03-16T00:00:00"/>
    <x v="0"/>
    <n v="5369.49"/>
    <n v="-1.35"/>
    <x v="0"/>
  </r>
  <r>
    <d v="2023-03-17T00:00:00"/>
    <x v="0"/>
    <n v="4379.87"/>
    <n v="-1.04"/>
    <x v="2"/>
  </r>
  <r>
    <d v="2023-03-18T00:00:00"/>
    <x v="0"/>
    <n v="8622.64"/>
    <n v="-2.69"/>
    <x v="1"/>
  </r>
  <r>
    <d v="2023-03-19T00:00:00"/>
    <x v="1"/>
    <n v="6719.65"/>
    <n v="-3.26"/>
    <x v="0"/>
  </r>
  <r>
    <d v="2023-03-20T00:00:00"/>
    <x v="0"/>
    <n v="6722.48"/>
    <n v="11.27"/>
    <x v="2"/>
  </r>
  <r>
    <d v="2023-03-21T00:00:00"/>
    <x v="0"/>
    <n v="1672.15"/>
    <n v="-4.8"/>
    <x v="1"/>
  </r>
  <r>
    <d v="2023-03-22T00:00:00"/>
    <x v="3"/>
    <n v="1404.02"/>
    <n v="-3.87"/>
    <x v="1"/>
  </r>
  <r>
    <d v="2023-03-23T00:00:00"/>
    <x v="4"/>
    <n v="3121.41"/>
    <n v="14.57"/>
    <x v="0"/>
  </r>
  <r>
    <d v="2023-03-24T00:00:00"/>
    <x v="3"/>
    <n v="2388.8000000000002"/>
    <n v="1.93"/>
    <x v="1"/>
  </r>
  <r>
    <d v="2023-03-25T00:00:00"/>
    <x v="3"/>
    <n v="5184.62"/>
    <n v="14.86"/>
    <x v="2"/>
  </r>
  <r>
    <d v="2023-03-26T00:00:00"/>
    <x v="3"/>
    <n v="9563.98"/>
    <n v="9.56"/>
    <x v="0"/>
  </r>
  <r>
    <d v="2023-03-27T00:00:00"/>
    <x v="4"/>
    <n v="5642.64"/>
    <n v="12.67"/>
    <x v="1"/>
  </r>
  <r>
    <d v="2023-03-28T00:00:00"/>
    <x v="4"/>
    <n v="1739.91"/>
    <n v="2.96"/>
    <x v="2"/>
  </r>
  <r>
    <d v="2023-03-29T00:00:00"/>
    <x v="1"/>
    <n v="5140.6099999999997"/>
    <n v="6.73"/>
    <x v="2"/>
  </r>
  <r>
    <d v="2023-03-30T00:00:00"/>
    <x v="2"/>
    <n v="7602.21"/>
    <n v="8.15"/>
    <x v="0"/>
  </r>
  <r>
    <d v="2023-03-31T00:00:00"/>
    <x v="0"/>
    <n v="6923.46"/>
    <n v="13.85"/>
    <x v="1"/>
  </r>
  <r>
    <d v="2023-04-01T00:00:00"/>
    <x v="4"/>
    <n v="2886.93"/>
    <n v="5.27"/>
    <x v="1"/>
  </r>
  <r>
    <d v="2023-04-02T00:00:00"/>
    <x v="0"/>
    <n v="8523.2199999999993"/>
    <n v="7.7"/>
    <x v="2"/>
  </r>
  <r>
    <d v="2023-04-03T00:00:00"/>
    <x v="0"/>
    <n v="1765.04"/>
    <n v="0.41"/>
    <x v="0"/>
  </r>
  <r>
    <d v="2023-04-04T00:00:00"/>
    <x v="2"/>
    <n v="4666.4399999999996"/>
    <n v="6.94"/>
    <x v="0"/>
  </r>
  <r>
    <d v="2023-04-05T00:00:00"/>
    <x v="4"/>
    <n v="5396.96"/>
    <n v="9.4700000000000006"/>
    <x v="1"/>
  </r>
  <r>
    <d v="2023-04-06T00:00:00"/>
    <x v="1"/>
    <n v="8515.85"/>
    <n v="14.38"/>
    <x v="0"/>
  </r>
  <r>
    <d v="2023-04-07T00:00:00"/>
    <x v="3"/>
    <n v="6834.58"/>
    <n v="8.36"/>
    <x v="2"/>
  </r>
  <r>
    <d v="2023-04-08T00:00:00"/>
    <x v="2"/>
    <n v="4973.32"/>
    <n v="1.86"/>
    <x v="2"/>
  </r>
  <r>
    <d v="2023-04-09T00:00:00"/>
    <x v="3"/>
    <n v="9400.0400000000009"/>
    <n v="12.93"/>
    <x v="1"/>
  </r>
  <r>
    <d v="2023-04-10T00:00:00"/>
    <x v="0"/>
    <n v="2621.51"/>
    <n v="10.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9AB95-1C19-4F1D-999C-751D230ED109}" name="PivotTable2" cacheId="91" applyNumberFormats="0" applyBorderFormats="0" applyFontFormats="0" applyPatternFormats="0" applyAlignmentFormats="0" applyWidthHeightFormats="1" dataCaption="Values" grandTotalCaption="Total Jenis" updatedVersion="8" minRefreshableVersion="3" useAutoFormatting="1" itemPrintTitles="1" createdVersion="8" indent="0" outline="1" outlineData="1" multipleFieldFilters="0" chartFormat="28" rowHeaderCaption="Jenis">
  <location ref="A3:B9" firstHeaderRow="1" firstDataRow="1" firstDataCol="1"/>
  <pivotFields count="5">
    <pivotField numFmtId="164" showAll="0"/>
    <pivotField axis="axisRow" dataField="1" showAll="0">
      <items count="6">
        <item x="4"/>
        <item x="0"/>
        <item x="3"/>
        <item x="1"/>
        <item x="2"/>
        <item t="default"/>
      </items>
    </pivotField>
    <pivotField showAll="0"/>
    <pivotField showAll="0"/>
    <pivotField showAll="0"/>
  </pivotFields>
  <rowFields count="1">
    <field x="1"/>
  </rowFields>
  <rowItems count="6">
    <i>
      <x/>
    </i>
    <i>
      <x v="1"/>
    </i>
    <i>
      <x v="2"/>
    </i>
    <i>
      <x v="3"/>
    </i>
    <i>
      <x v="4"/>
    </i>
    <i t="grand">
      <x/>
    </i>
  </rowItems>
  <colItems count="1">
    <i/>
  </colItems>
  <dataFields count="1">
    <dataField name="Jumlah Jenis" fld="1" subtotal="count"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0BB20B-CD90-4C91-A9AE-626A2BB0EA01}" name="PivotTable40" cacheId="8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C18" firstHeaderRow="1" firstDataRow="1" firstDataCol="2"/>
  <pivotFields count="5">
    <pivotField compact="0" numFmtId="166"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s>
  <rowFields count="2">
    <field x="4"/>
    <field x="1"/>
  </rowFields>
  <rowItems count="15">
    <i>
      <x/>
      <x/>
    </i>
    <i r="1">
      <x v="1"/>
    </i>
    <i r="1">
      <x v="2"/>
    </i>
    <i r="1">
      <x v="3"/>
    </i>
    <i r="1">
      <x v="4"/>
    </i>
    <i>
      <x v="1"/>
      <x/>
    </i>
    <i r="1">
      <x v="1"/>
    </i>
    <i r="1">
      <x v="2"/>
    </i>
    <i r="1">
      <x v="3"/>
    </i>
    <i r="1">
      <x v="4"/>
    </i>
    <i>
      <x v="2"/>
      <x/>
    </i>
    <i r="1">
      <x v="1"/>
    </i>
    <i r="1">
      <x v="2"/>
    </i>
    <i r="1">
      <x v="3"/>
    </i>
    <i r="1">
      <x v="4"/>
    </i>
  </rowItems>
  <colItems count="1">
    <i/>
  </colItems>
  <dataFields count="1">
    <dataField name="Sum of Keuntungan (Persen)"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4EA85-998B-4E25-AC36-B57D23DD3C3D}" name="PivotTable41" cacheId="91" applyNumberFormats="0" applyBorderFormats="0" applyFontFormats="0" applyPatternFormats="0" applyAlignmentFormats="0" applyWidthHeightFormats="1" dataCaption="Values" grandTotalCaption="Total Jumlah Investasi (US Dollar)" updatedVersion="8" minRefreshableVersion="3" useAutoFormatting="1" itemPrintTitles="1" createdVersion="8" indent="0" outline="1" outlineData="1" multipleFieldFilters="0" chartFormat="1" rowHeaderCaption="Jenis" colHeaderCaption="Tingkat Resiko">
  <location ref="A3:E10" firstHeaderRow="1" firstDataRow="2" firstDataCol="1"/>
  <pivotFields count="5">
    <pivotField numFmtId="164" showAll="0"/>
    <pivotField axis="axisRow" showAll="0">
      <items count="6">
        <item x="4"/>
        <item x="0"/>
        <item x="3"/>
        <item x="1"/>
        <item x="2"/>
        <item t="default"/>
      </items>
    </pivotField>
    <pivotField dataField="1" showAll="0">
      <items count="101">
        <item x="80"/>
        <item x="56"/>
        <item x="34"/>
        <item x="52"/>
        <item x="58"/>
        <item x="79"/>
        <item x="86"/>
        <item x="92"/>
        <item x="59"/>
        <item x="61"/>
        <item x="24"/>
        <item x="70"/>
        <item x="25"/>
        <item x="82"/>
        <item x="39"/>
        <item x="48"/>
        <item x="99"/>
        <item x="90"/>
        <item x="49"/>
        <item x="81"/>
        <item x="40"/>
        <item x="22"/>
        <item x="31"/>
        <item x="42"/>
        <item x="28"/>
        <item x="10"/>
        <item x="66"/>
        <item x="46"/>
        <item x="37"/>
        <item x="75"/>
        <item x="6"/>
        <item x="53"/>
        <item x="93"/>
        <item x="32"/>
        <item x="45"/>
        <item x="97"/>
        <item x="3"/>
        <item x="87"/>
        <item x="54"/>
        <item x="12"/>
        <item x="83"/>
        <item x="55"/>
        <item x="21"/>
        <item x="1"/>
        <item x="74"/>
        <item x="94"/>
        <item x="68"/>
        <item x="63"/>
        <item x="41"/>
        <item x="85"/>
        <item x="20"/>
        <item x="19"/>
        <item x="7"/>
        <item x="64"/>
        <item x="11"/>
        <item x="77"/>
        <item x="78"/>
        <item x="60"/>
        <item x="47"/>
        <item x="96"/>
        <item x="8"/>
        <item x="89"/>
        <item x="27"/>
        <item x="14"/>
        <item x="73"/>
        <item x="15"/>
        <item x="33"/>
        <item x="71"/>
        <item x="35"/>
        <item x="88"/>
        <item x="65"/>
        <item x="44"/>
        <item x="16"/>
        <item x="29"/>
        <item x="9"/>
        <item x="50"/>
        <item x="95"/>
        <item x="91"/>
        <item x="69"/>
        <item x="2"/>
        <item x="5"/>
        <item x="76"/>
        <item x="62"/>
        <item x="26"/>
        <item x="36"/>
        <item x="23"/>
        <item x="18"/>
        <item x="67"/>
        <item x="43"/>
        <item x="17"/>
        <item x="98"/>
        <item x="4"/>
        <item x="84"/>
        <item x="51"/>
        <item x="13"/>
        <item x="57"/>
        <item x="0"/>
        <item x="72"/>
        <item x="38"/>
        <item x="30"/>
        <item t="default"/>
      </items>
    </pivotField>
    <pivotField showAll="0">
      <items count="99">
        <item x="77"/>
        <item x="3"/>
        <item x="17"/>
        <item x="11"/>
        <item x="47"/>
        <item x="27"/>
        <item x="78"/>
        <item x="54"/>
        <item x="69"/>
        <item x="75"/>
        <item x="30"/>
        <item x="66"/>
        <item x="50"/>
        <item x="74"/>
        <item x="44"/>
        <item x="62"/>
        <item x="41"/>
        <item x="58"/>
        <item x="73"/>
        <item x="4"/>
        <item x="16"/>
        <item x="31"/>
        <item x="40"/>
        <item x="12"/>
        <item x="6"/>
        <item x="57"/>
        <item x="90"/>
        <item x="48"/>
        <item x="7"/>
        <item x="95"/>
        <item x="80"/>
        <item x="68"/>
        <item x="51"/>
        <item x="65"/>
        <item x="84"/>
        <item x="63"/>
        <item x="13"/>
        <item x="24"/>
        <item x="26"/>
        <item x="46"/>
        <item x="8"/>
        <item x="55"/>
        <item x="32"/>
        <item x="29"/>
        <item x="35"/>
        <item x="52"/>
        <item x="43"/>
        <item x="88"/>
        <item x="42"/>
        <item x="9"/>
        <item x="1"/>
        <item x="19"/>
        <item x="22"/>
        <item x="0"/>
        <item x="18"/>
        <item x="37"/>
        <item x="21"/>
        <item x="85"/>
        <item x="91"/>
        <item x="61"/>
        <item x="59"/>
        <item x="70"/>
        <item x="89"/>
        <item x="28"/>
        <item x="86"/>
        <item x="94"/>
        <item x="67"/>
        <item x="38"/>
        <item x="23"/>
        <item x="45"/>
        <item x="20"/>
        <item x="39"/>
        <item x="92"/>
        <item x="82"/>
        <item x="72"/>
        <item x="49"/>
        <item x="97"/>
        <item x="10"/>
        <item x="2"/>
        <item x="25"/>
        <item x="76"/>
        <item x="64"/>
        <item x="34"/>
        <item x="60"/>
        <item x="83"/>
        <item x="33"/>
        <item x="96"/>
        <item x="87"/>
        <item x="15"/>
        <item x="14"/>
        <item x="36"/>
        <item x="93"/>
        <item x="53"/>
        <item x="79"/>
        <item x="71"/>
        <item x="5"/>
        <item x="56"/>
        <item x="81"/>
        <item t="default"/>
      </items>
    </pivotField>
    <pivotField axis="axisCol" showAll="0">
      <items count="4">
        <item x="1"/>
        <item x="0"/>
        <item x="2"/>
        <item t="default"/>
      </items>
    </pivotField>
  </pivotFields>
  <rowFields count="1">
    <field x="1"/>
  </rowFields>
  <rowItems count="6">
    <i>
      <x/>
    </i>
    <i>
      <x v="1"/>
    </i>
    <i>
      <x v="2"/>
    </i>
    <i>
      <x v="3"/>
    </i>
    <i>
      <x v="4"/>
    </i>
    <i t="grand">
      <x/>
    </i>
  </rowItems>
  <colFields count="1">
    <field x="4"/>
  </colFields>
  <colItems count="4">
    <i>
      <x/>
    </i>
    <i>
      <x v="1"/>
    </i>
    <i>
      <x v="2"/>
    </i>
    <i t="grand">
      <x/>
    </i>
  </colItems>
  <dataFields count="1">
    <dataField name="Investasi" fld="2" baseField="0" baseItem="0"/>
  </dataFields>
  <formats count="10">
    <format dxfId="0">
      <pivotArea type="all" dataOnly="0" outline="0" fieldPosition="0"/>
    </format>
    <format dxfId="1">
      <pivotArea outline="0" collapsedLevelsAreSubtotals="1" fieldPosition="0"/>
    </format>
    <format dxfId="2">
      <pivotArea type="origin" dataOnly="0" labelOnly="1" outline="0" fieldPosition="0"/>
    </format>
    <format dxfId="3">
      <pivotArea field="4" type="button" dataOnly="0" labelOnly="1" outline="0" axis="axisCol" fieldPosition="0"/>
    </format>
    <format dxfId="4">
      <pivotArea type="topRight" dataOnly="0" labelOnly="1" outline="0" fieldPosition="0"/>
    </format>
    <format dxfId="5">
      <pivotArea field="1" type="button" dataOnly="0" labelOnly="1" outline="0" axis="axisRow" fieldPosition="0"/>
    </format>
    <format dxfId="6">
      <pivotArea dataOnly="0" labelOnly="1" fieldPosition="0">
        <references count="1">
          <reference field="1" count="0"/>
        </references>
      </pivotArea>
    </format>
    <format dxfId="7">
      <pivotArea dataOnly="0" labelOnly="1" grandRow="1" outline="0" fieldPosition="0"/>
    </format>
    <format dxfId="8">
      <pivotArea dataOnly="0" labelOnly="1" fieldPosition="0">
        <references count="1">
          <reference field="4" count="0"/>
        </references>
      </pivotArea>
    </format>
    <format dxfId="9">
      <pivotArea dataOnly="0" labelOnly="1" grandCol="1"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 xr10:uid="{9C7CF323-7B93-4E6C-B2B2-563A0157E78B}" sourceName="Jenis">
  <pivotTables>
    <pivotTable tabId="13" name="PivotTable41"/>
  </pivotTables>
  <data>
    <tabular pivotCacheId="2132379757">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gkat_Resiko" xr10:uid="{02CF7BC7-8140-4175-86EE-C01271DBB391}" sourceName="Tingkat Resiko">
  <pivotTables>
    <pivotTable tabId="13" name="PivotTable41"/>
  </pivotTables>
  <data>
    <tabular pivotCacheId="213237975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enis" xr10:uid="{05309E3F-BA2C-4099-8C61-1C477FA69460}" cache="Slicer_Jenis" caption="Jenis" rowHeight="241300"/>
  <slicer name="Tingkat Resiko" xr10:uid="{90A327B7-DC7A-4F56-8440-0C232A4402D8}" cache="Slicer_Tingkat_Resiko" caption="Tingkat Resiko"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J7" sqref="J7"/>
    </sheetView>
  </sheetViews>
  <sheetFormatPr defaultRowHeight="15" x14ac:dyDescent="0.25"/>
  <cols>
    <col min="1" max="1" width="10.7109375" style="6" bestFit="1" customWidth="1"/>
    <col min="2" max="2" width="14.5703125" bestFit="1" customWidth="1"/>
    <col min="3" max="3" width="17.5703125" bestFit="1" customWidth="1"/>
    <col min="4" max="4" width="20" bestFit="1" customWidth="1"/>
    <col min="5" max="5" width="13.85546875" bestFit="1" customWidth="1"/>
  </cols>
  <sheetData>
    <row r="1" spans="1:5" x14ac:dyDescent="0.25">
      <c r="A1" s="1" t="s">
        <v>15</v>
      </c>
      <c r="B1" s="1" t="s">
        <v>8</v>
      </c>
      <c r="C1" s="1" t="s">
        <v>9</v>
      </c>
      <c r="D1" s="1" t="s">
        <v>10</v>
      </c>
      <c r="E1" s="1" t="s">
        <v>11</v>
      </c>
    </row>
    <row r="2" spans="1:5" x14ac:dyDescent="0.25">
      <c r="A2" s="5">
        <v>44927</v>
      </c>
      <c r="B2" s="2" t="s">
        <v>0</v>
      </c>
      <c r="C2" s="2">
        <v>9848.2199999999993</v>
      </c>
      <c r="D2" s="2">
        <v>5.86</v>
      </c>
      <c r="E2" s="2" t="s">
        <v>5</v>
      </c>
    </row>
    <row r="3" spans="1:5" x14ac:dyDescent="0.25">
      <c r="A3" s="5">
        <v>44928</v>
      </c>
      <c r="B3" s="2" t="s">
        <v>1</v>
      </c>
      <c r="C3" s="2">
        <v>5318.27</v>
      </c>
      <c r="D3" s="2">
        <v>5.6</v>
      </c>
      <c r="E3" s="2" t="s">
        <v>5</v>
      </c>
    </row>
    <row r="4" spans="1:5" x14ac:dyDescent="0.25">
      <c r="A4" s="5">
        <v>44929</v>
      </c>
      <c r="B4" s="2" t="s">
        <v>2</v>
      </c>
      <c r="C4" s="2">
        <v>8570.81</v>
      </c>
      <c r="D4" s="2">
        <v>10.33</v>
      </c>
      <c r="E4" s="2" t="s">
        <v>6</v>
      </c>
    </row>
    <row r="5" spans="1:5" x14ac:dyDescent="0.25">
      <c r="A5" s="5">
        <v>44930</v>
      </c>
      <c r="B5" s="2" t="s">
        <v>3</v>
      </c>
      <c r="C5" s="2">
        <v>4991.95</v>
      </c>
      <c r="D5" s="2">
        <v>-4.43</v>
      </c>
      <c r="E5" s="2" t="s">
        <v>6</v>
      </c>
    </row>
    <row r="6" spans="1:5" x14ac:dyDescent="0.25">
      <c r="A6" s="5">
        <v>44931</v>
      </c>
      <c r="B6" s="2" t="s">
        <v>3</v>
      </c>
      <c r="C6" s="2">
        <v>9555.5</v>
      </c>
      <c r="D6" s="2">
        <v>-1.34</v>
      </c>
      <c r="E6" s="2" t="s">
        <v>6</v>
      </c>
    </row>
    <row r="7" spans="1:5" x14ac:dyDescent="0.25">
      <c r="A7" s="5">
        <v>44932</v>
      </c>
      <c r="B7" s="2" t="s">
        <v>2</v>
      </c>
      <c r="C7" s="2">
        <v>8594.89</v>
      </c>
      <c r="D7" s="2">
        <v>14.78</v>
      </c>
      <c r="E7" s="2" t="s">
        <v>7</v>
      </c>
    </row>
    <row r="8" spans="1:5" x14ac:dyDescent="0.25">
      <c r="A8" s="5">
        <v>44933</v>
      </c>
      <c r="B8" s="2" t="s">
        <v>2</v>
      </c>
      <c r="C8" s="2">
        <v>4525.41</v>
      </c>
      <c r="D8" s="2">
        <v>-0.48</v>
      </c>
      <c r="E8" s="2" t="s">
        <v>5</v>
      </c>
    </row>
    <row r="9" spans="1:5" x14ac:dyDescent="0.25">
      <c r="A9" s="5">
        <v>44934</v>
      </c>
      <c r="B9" s="2" t="s">
        <v>0</v>
      </c>
      <c r="C9" s="2">
        <v>5760.46</v>
      </c>
      <c r="D9" s="2">
        <v>1.1100000000000001</v>
      </c>
      <c r="E9" s="2" t="s">
        <v>5</v>
      </c>
    </row>
    <row r="10" spans="1:5" x14ac:dyDescent="0.25">
      <c r="A10" s="5">
        <v>44935</v>
      </c>
      <c r="B10" s="2" t="s">
        <v>2</v>
      </c>
      <c r="C10" s="2">
        <v>6901.38</v>
      </c>
      <c r="D10" s="2">
        <v>3.76</v>
      </c>
      <c r="E10" s="2" t="s">
        <v>7</v>
      </c>
    </row>
    <row r="11" spans="1:5" x14ac:dyDescent="0.25">
      <c r="A11" s="5">
        <v>44936</v>
      </c>
      <c r="B11" s="2" t="s">
        <v>0</v>
      </c>
      <c r="C11" s="2">
        <v>8205.0400000000009</v>
      </c>
      <c r="D11" s="2">
        <v>5.55</v>
      </c>
      <c r="E11" s="2" t="s">
        <v>5</v>
      </c>
    </row>
    <row r="12" spans="1:5" x14ac:dyDescent="0.25">
      <c r="A12" s="5">
        <v>44937</v>
      </c>
      <c r="B12" s="2" t="s">
        <v>1</v>
      </c>
      <c r="C12" s="2">
        <v>3905.02</v>
      </c>
      <c r="D12" s="2">
        <v>10.220000000000001</v>
      </c>
      <c r="E12" s="2" t="s">
        <v>7</v>
      </c>
    </row>
    <row r="13" spans="1:5" x14ac:dyDescent="0.25">
      <c r="A13" s="5">
        <v>44938</v>
      </c>
      <c r="B13" s="2" t="s">
        <v>0</v>
      </c>
      <c r="C13" s="2">
        <v>6115.89</v>
      </c>
      <c r="D13" s="2">
        <v>-4.21</v>
      </c>
      <c r="E13" s="2" t="s">
        <v>7</v>
      </c>
    </row>
    <row r="14" spans="1:5" x14ac:dyDescent="0.25">
      <c r="A14" s="5">
        <v>44939</v>
      </c>
      <c r="B14" s="2" t="s">
        <v>3</v>
      </c>
      <c r="C14" s="2">
        <v>5149.8900000000003</v>
      </c>
      <c r="D14" s="2">
        <v>-0.49</v>
      </c>
      <c r="E14" s="2" t="s">
        <v>5</v>
      </c>
    </row>
    <row r="15" spans="1:5" x14ac:dyDescent="0.25">
      <c r="A15" s="5">
        <v>44940</v>
      </c>
      <c r="B15" s="2" t="s">
        <v>4</v>
      </c>
      <c r="C15" s="2">
        <v>9790.69</v>
      </c>
      <c r="D15" s="2">
        <v>3.11</v>
      </c>
      <c r="E15" s="2" t="s">
        <v>6</v>
      </c>
    </row>
    <row r="16" spans="1:5" x14ac:dyDescent="0.25">
      <c r="A16" s="5">
        <v>44941</v>
      </c>
      <c r="B16" s="2" t="s">
        <v>4</v>
      </c>
      <c r="C16" s="2">
        <v>7130.21</v>
      </c>
      <c r="D16" s="2">
        <v>14.09</v>
      </c>
      <c r="E16" s="2" t="s">
        <v>5</v>
      </c>
    </row>
    <row r="17" spans="1:5" x14ac:dyDescent="0.25">
      <c r="A17" s="5">
        <v>44942</v>
      </c>
      <c r="B17" s="2" t="s">
        <v>3</v>
      </c>
      <c r="C17" s="2">
        <v>7196.41</v>
      </c>
      <c r="D17" s="2">
        <v>14.04</v>
      </c>
      <c r="E17" s="2" t="s">
        <v>6</v>
      </c>
    </row>
    <row r="18" spans="1:5" x14ac:dyDescent="0.25">
      <c r="A18" s="5">
        <v>44943</v>
      </c>
      <c r="B18" s="2" t="s">
        <v>4</v>
      </c>
      <c r="C18" s="2">
        <v>8105.64</v>
      </c>
      <c r="D18" s="2">
        <v>-1.04</v>
      </c>
      <c r="E18" s="2" t="s">
        <v>6</v>
      </c>
    </row>
    <row r="19" spans="1:5" x14ac:dyDescent="0.25">
      <c r="A19" s="5">
        <v>44944</v>
      </c>
      <c r="B19" s="2" t="s">
        <v>0</v>
      </c>
      <c r="C19" s="2">
        <v>9323.2099999999991</v>
      </c>
      <c r="D19" s="2">
        <v>-4.3899999999999997</v>
      </c>
      <c r="E19" s="2" t="s">
        <v>6</v>
      </c>
    </row>
    <row r="20" spans="1:5" x14ac:dyDescent="0.25">
      <c r="A20" s="5">
        <v>44945</v>
      </c>
      <c r="B20" s="2" t="s">
        <v>4</v>
      </c>
      <c r="C20" s="2">
        <v>9081.6200000000008</v>
      </c>
      <c r="D20" s="2">
        <v>6.09</v>
      </c>
      <c r="E20" s="2" t="s">
        <v>5</v>
      </c>
    </row>
    <row r="21" spans="1:5" x14ac:dyDescent="0.25">
      <c r="A21" s="5">
        <v>44946</v>
      </c>
      <c r="B21" s="2" t="s">
        <v>3</v>
      </c>
      <c r="C21" s="2">
        <v>5705.09</v>
      </c>
      <c r="D21" s="2">
        <v>5.71</v>
      </c>
      <c r="E21" s="2" t="s">
        <v>7</v>
      </c>
    </row>
    <row r="22" spans="1:5" x14ac:dyDescent="0.25">
      <c r="A22" s="5">
        <v>44947</v>
      </c>
      <c r="B22" s="2" t="s">
        <v>3</v>
      </c>
      <c r="C22" s="2">
        <v>5652.06</v>
      </c>
      <c r="D22" s="2">
        <v>9.39</v>
      </c>
      <c r="E22" s="2" t="s">
        <v>6</v>
      </c>
    </row>
    <row r="23" spans="1:5" x14ac:dyDescent="0.25">
      <c r="A23" s="5">
        <v>44948</v>
      </c>
      <c r="B23" s="2" t="s">
        <v>1</v>
      </c>
      <c r="C23" s="2">
        <v>5308.45</v>
      </c>
      <c r="D23" s="2">
        <v>6.42</v>
      </c>
      <c r="E23" s="2" t="s">
        <v>7</v>
      </c>
    </row>
    <row r="24" spans="1:5" x14ac:dyDescent="0.25">
      <c r="A24" s="5">
        <v>44949</v>
      </c>
      <c r="B24" s="2" t="s">
        <v>1</v>
      </c>
      <c r="C24" s="2">
        <v>3596.65</v>
      </c>
      <c r="D24" s="2">
        <v>5.84</v>
      </c>
      <c r="E24" s="2" t="s">
        <v>7</v>
      </c>
    </row>
    <row r="25" spans="1:5" x14ac:dyDescent="0.25">
      <c r="A25" s="5">
        <v>44950</v>
      </c>
      <c r="B25" s="2" t="s">
        <v>0</v>
      </c>
      <c r="C25" s="2">
        <v>8917.31</v>
      </c>
      <c r="D25" s="2">
        <v>8.49</v>
      </c>
      <c r="E25" s="2" t="s">
        <v>7</v>
      </c>
    </row>
    <row r="26" spans="1:5" x14ac:dyDescent="0.25">
      <c r="A26" s="5">
        <v>44951</v>
      </c>
      <c r="B26" s="2" t="s">
        <v>1</v>
      </c>
      <c r="C26" s="2">
        <v>2031.36</v>
      </c>
      <c r="D26" s="2">
        <v>3.3</v>
      </c>
      <c r="E26" s="2" t="s">
        <v>5</v>
      </c>
    </row>
    <row r="27" spans="1:5" x14ac:dyDescent="0.25">
      <c r="A27" s="5">
        <v>44952</v>
      </c>
      <c r="B27" s="2" t="s">
        <v>1</v>
      </c>
      <c r="C27" s="2">
        <v>2319.0700000000002</v>
      </c>
      <c r="D27" s="2">
        <v>10.42</v>
      </c>
      <c r="E27" s="2" t="s">
        <v>7</v>
      </c>
    </row>
    <row r="28" spans="1:5" x14ac:dyDescent="0.25">
      <c r="A28" s="5">
        <v>44953</v>
      </c>
      <c r="B28" s="2" t="s">
        <v>4</v>
      </c>
      <c r="C28" s="2">
        <v>8724.93</v>
      </c>
      <c r="D28" s="2">
        <v>3.34</v>
      </c>
      <c r="E28" s="2" t="s">
        <v>7</v>
      </c>
    </row>
    <row r="29" spans="1:5" x14ac:dyDescent="0.25">
      <c r="A29" s="5">
        <v>44954</v>
      </c>
      <c r="B29" s="2" t="s">
        <v>0</v>
      </c>
      <c r="C29" s="2">
        <v>7072.1</v>
      </c>
      <c r="D29" s="2">
        <v>-4.07</v>
      </c>
      <c r="E29" s="2" t="s">
        <v>6</v>
      </c>
    </row>
    <row r="30" spans="1:5" x14ac:dyDescent="0.25">
      <c r="A30" s="5">
        <v>44955</v>
      </c>
      <c r="B30" s="2" t="s">
        <v>0</v>
      </c>
      <c r="C30" s="2">
        <v>3798.11</v>
      </c>
      <c r="D30" s="2">
        <v>8.0399999999999991</v>
      </c>
      <c r="E30" s="2" t="s">
        <v>6</v>
      </c>
    </row>
    <row r="31" spans="1:5" x14ac:dyDescent="0.25">
      <c r="A31" s="5">
        <v>44956</v>
      </c>
      <c r="B31" s="2" t="s">
        <v>2</v>
      </c>
      <c r="C31" s="2">
        <v>8163.47</v>
      </c>
      <c r="D31" s="2">
        <v>3.92</v>
      </c>
      <c r="E31" s="2" t="s">
        <v>6</v>
      </c>
    </row>
    <row r="32" spans="1:5" x14ac:dyDescent="0.25">
      <c r="A32" s="5">
        <v>44957</v>
      </c>
      <c r="B32" s="2" t="s">
        <v>0</v>
      </c>
      <c r="C32" s="2">
        <v>9950.32</v>
      </c>
      <c r="D32" s="2">
        <v>-3.19</v>
      </c>
      <c r="E32" s="2" t="s">
        <v>7</v>
      </c>
    </row>
    <row r="33" spans="1:5" x14ac:dyDescent="0.25">
      <c r="A33" s="5">
        <v>44958</v>
      </c>
      <c r="B33" s="2" t="s">
        <v>2</v>
      </c>
      <c r="C33" s="2">
        <v>3634.28</v>
      </c>
      <c r="D33" s="2">
        <v>-1.02</v>
      </c>
      <c r="E33" s="2" t="s">
        <v>5</v>
      </c>
    </row>
    <row r="34" spans="1:5" x14ac:dyDescent="0.25">
      <c r="A34" s="5">
        <v>44959</v>
      </c>
      <c r="B34" s="2" t="s">
        <v>4</v>
      </c>
      <c r="C34" s="2">
        <v>4713.1000000000004</v>
      </c>
      <c r="D34" s="2">
        <v>3.83</v>
      </c>
      <c r="E34" s="2" t="s">
        <v>6</v>
      </c>
    </row>
    <row r="35" spans="1:5" x14ac:dyDescent="0.25">
      <c r="A35" s="5">
        <v>44960</v>
      </c>
      <c r="B35" s="2" t="s">
        <v>0</v>
      </c>
      <c r="C35" s="2">
        <v>7241.77</v>
      </c>
      <c r="D35" s="2">
        <v>12.76</v>
      </c>
      <c r="E35" s="2" t="s">
        <v>5</v>
      </c>
    </row>
    <row r="36" spans="1:5" x14ac:dyDescent="0.25">
      <c r="A36" s="5">
        <v>44961</v>
      </c>
      <c r="B36" s="2" t="s">
        <v>3</v>
      </c>
      <c r="C36" s="2">
        <v>1539.85</v>
      </c>
      <c r="D36" s="2">
        <v>11.7</v>
      </c>
      <c r="E36" s="2" t="s">
        <v>5</v>
      </c>
    </row>
    <row r="37" spans="1:5" x14ac:dyDescent="0.25">
      <c r="A37" s="5">
        <v>44962</v>
      </c>
      <c r="B37" s="2" t="s">
        <v>4</v>
      </c>
      <c r="C37" s="2">
        <v>7488.36</v>
      </c>
      <c r="D37" s="2">
        <v>4.25</v>
      </c>
      <c r="E37" s="2" t="s">
        <v>7</v>
      </c>
    </row>
    <row r="38" spans="1:5" x14ac:dyDescent="0.25">
      <c r="A38" s="5">
        <v>44963</v>
      </c>
      <c r="B38" s="2" t="s">
        <v>3</v>
      </c>
      <c r="C38" s="2">
        <v>8726.66</v>
      </c>
      <c r="D38" s="2">
        <v>14.21</v>
      </c>
      <c r="E38" s="2" t="s">
        <v>5</v>
      </c>
    </row>
    <row r="39" spans="1:5" x14ac:dyDescent="0.25">
      <c r="A39" s="5">
        <v>44964</v>
      </c>
      <c r="B39" s="2" t="s">
        <v>4</v>
      </c>
      <c r="C39" s="2">
        <v>4125.45</v>
      </c>
      <c r="D39" s="2">
        <v>6.23</v>
      </c>
      <c r="E39" s="2" t="s">
        <v>5</v>
      </c>
    </row>
    <row r="40" spans="1:5" x14ac:dyDescent="0.25">
      <c r="A40" s="5">
        <v>44965</v>
      </c>
      <c r="B40" s="2" t="s">
        <v>3</v>
      </c>
      <c r="C40" s="2">
        <v>9914.35</v>
      </c>
      <c r="D40" s="2">
        <v>8.48</v>
      </c>
      <c r="E40" s="2" t="s">
        <v>6</v>
      </c>
    </row>
    <row r="41" spans="1:5" x14ac:dyDescent="0.25">
      <c r="A41" s="5">
        <v>44966</v>
      </c>
      <c r="B41" s="2" t="s">
        <v>1</v>
      </c>
      <c r="C41" s="2">
        <v>2397.9899999999998</v>
      </c>
      <c r="D41" s="2">
        <v>9.4600000000000009</v>
      </c>
      <c r="E41" s="2" t="s">
        <v>5</v>
      </c>
    </row>
    <row r="42" spans="1:5" x14ac:dyDescent="0.25">
      <c r="A42" s="5">
        <v>44967</v>
      </c>
      <c r="B42" s="2" t="s">
        <v>3</v>
      </c>
      <c r="C42" s="2">
        <v>3158.95</v>
      </c>
      <c r="D42" s="2">
        <v>-0.96</v>
      </c>
      <c r="E42" s="2" t="s">
        <v>7</v>
      </c>
    </row>
    <row r="43" spans="1:5" x14ac:dyDescent="0.25">
      <c r="A43" s="5">
        <v>44968</v>
      </c>
      <c r="B43" s="2" t="s">
        <v>0</v>
      </c>
      <c r="C43" s="2">
        <v>5603.37</v>
      </c>
      <c r="D43" s="2">
        <v>-1.7</v>
      </c>
      <c r="E43" s="2" t="s">
        <v>7</v>
      </c>
    </row>
    <row r="44" spans="1:5" x14ac:dyDescent="0.25">
      <c r="A44" s="5">
        <v>44969</v>
      </c>
      <c r="B44" s="2" t="s">
        <v>3</v>
      </c>
      <c r="C44" s="2">
        <v>3671.24</v>
      </c>
      <c r="D44" s="2">
        <v>5.35</v>
      </c>
      <c r="E44" s="2" t="s">
        <v>5</v>
      </c>
    </row>
    <row r="45" spans="1:5" x14ac:dyDescent="0.25">
      <c r="A45" s="5">
        <v>44970</v>
      </c>
      <c r="B45" s="2" t="s">
        <v>4</v>
      </c>
      <c r="C45" s="2">
        <v>9278.26</v>
      </c>
      <c r="D45" s="2">
        <v>4.8</v>
      </c>
      <c r="E45" s="2" t="s">
        <v>7</v>
      </c>
    </row>
    <row r="46" spans="1:5" x14ac:dyDescent="0.25">
      <c r="A46" s="5">
        <v>44971</v>
      </c>
      <c r="B46" s="2" t="s">
        <v>0</v>
      </c>
      <c r="C46" s="2">
        <v>7841.63</v>
      </c>
      <c r="D46" s="2">
        <v>-2.67</v>
      </c>
      <c r="E46" s="2" t="s">
        <v>5</v>
      </c>
    </row>
    <row r="47" spans="1:5" x14ac:dyDescent="0.25">
      <c r="A47" s="5">
        <v>44972</v>
      </c>
      <c r="B47" s="2" t="s">
        <v>3</v>
      </c>
      <c r="C47" s="2">
        <v>4776.8999999999996</v>
      </c>
      <c r="D47" s="2">
        <v>9.1300000000000008</v>
      </c>
      <c r="E47" s="2" t="s">
        <v>7</v>
      </c>
    </row>
    <row r="48" spans="1:5" x14ac:dyDescent="0.25">
      <c r="A48" s="5">
        <v>44973</v>
      </c>
      <c r="B48" s="2" t="s">
        <v>1</v>
      </c>
      <c r="C48" s="2">
        <v>4106.88</v>
      </c>
      <c r="D48" s="2">
        <v>3.37</v>
      </c>
      <c r="E48" s="2" t="s">
        <v>7</v>
      </c>
    </row>
    <row r="49" spans="1:5" x14ac:dyDescent="0.25">
      <c r="A49" s="5">
        <v>44974</v>
      </c>
      <c r="B49" s="2" t="s">
        <v>0</v>
      </c>
      <c r="C49" s="2">
        <v>6758.04</v>
      </c>
      <c r="D49" s="2">
        <v>-4.18</v>
      </c>
      <c r="E49" s="2" t="s">
        <v>7</v>
      </c>
    </row>
    <row r="50" spans="1:5" x14ac:dyDescent="0.25">
      <c r="A50" s="5">
        <v>44975</v>
      </c>
      <c r="B50" s="2" t="s">
        <v>4</v>
      </c>
      <c r="C50" s="2">
        <v>2405.35</v>
      </c>
      <c r="D50" s="2">
        <v>0.88</v>
      </c>
      <c r="E50" s="2" t="s">
        <v>6</v>
      </c>
    </row>
    <row r="51" spans="1:5" x14ac:dyDescent="0.25">
      <c r="A51" s="5">
        <v>44976</v>
      </c>
      <c r="B51" s="2" t="s">
        <v>1</v>
      </c>
      <c r="C51" s="2">
        <v>3063.16</v>
      </c>
      <c r="D51" s="2">
        <v>9.67</v>
      </c>
      <c r="E51" s="2" t="s">
        <v>7</v>
      </c>
    </row>
    <row r="52" spans="1:5" x14ac:dyDescent="0.25">
      <c r="A52" s="5">
        <v>44977</v>
      </c>
      <c r="B52" s="2" t="s">
        <v>4</v>
      </c>
      <c r="C52" s="2">
        <v>8513.91</v>
      </c>
      <c r="D52" s="2">
        <v>-2.94</v>
      </c>
      <c r="E52" s="2" t="s">
        <v>6</v>
      </c>
    </row>
    <row r="53" spans="1:5" x14ac:dyDescent="0.25">
      <c r="A53" s="5">
        <v>44978</v>
      </c>
      <c r="B53" s="2" t="s">
        <v>1</v>
      </c>
      <c r="C53" s="2">
        <v>9759.41</v>
      </c>
      <c r="D53" s="2">
        <v>2.5299999999999998</v>
      </c>
      <c r="E53" s="2" t="s">
        <v>5</v>
      </c>
    </row>
    <row r="54" spans="1:5" x14ac:dyDescent="0.25">
      <c r="A54" s="5">
        <v>44979</v>
      </c>
      <c r="B54" s="2" t="s">
        <v>3</v>
      </c>
      <c r="C54" s="2">
        <v>1545.96</v>
      </c>
      <c r="D54" s="2">
        <v>4.28</v>
      </c>
      <c r="E54" s="2" t="s">
        <v>5</v>
      </c>
    </row>
    <row r="55" spans="1:5" x14ac:dyDescent="0.25">
      <c r="A55" s="5">
        <v>44980</v>
      </c>
      <c r="B55" s="2" t="s">
        <v>4</v>
      </c>
      <c r="C55" s="2">
        <v>4562.2299999999996</v>
      </c>
      <c r="D55" s="2">
        <v>14.42</v>
      </c>
      <c r="E55" s="2" t="s">
        <v>5</v>
      </c>
    </row>
    <row r="56" spans="1:5" x14ac:dyDescent="0.25">
      <c r="A56" s="5">
        <v>44981</v>
      </c>
      <c r="B56" s="2" t="s">
        <v>3</v>
      </c>
      <c r="C56" s="2">
        <v>5149.58</v>
      </c>
      <c r="D56" s="2">
        <v>-3.61</v>
      </c>
      <c r="E56" s="2" t="s">
        <v>6</v>
      </c>
    </row>
    <row r="57" spans="1:5" x14ac:dyDescent="0.25">
      <c r="A57" s="5">
        <v>44982</v>
      </c>
      <c r="B57" s="2" t="s">
        <v>3</v>
      </c>
      <c r="C57" s="2">
        <v>5228.66</v>
      </c>
      <c r="D57" s="2">
        <v>3.79</v>
      </c>
      <c r="E57" s="2" t="s">
        <v>6</v>
      </c>
    </row>
    <row r="58" spans="1:5" x14ac:dyDescent="0.25">
      <c r="A58" s="5">
        <v>44983</v>
      </c>
      <c r="B58" s="2" t="s">
        <v>3</v>
      </c>
      <c r="C58" s="2">
        <v>1486.14</v>
      </c>
      <c r="D58" s="2">
        <v>14.82</v>
      </c>
      <c r="E58" s="2" t="s">
        <v>6</v>
      </c>
    </row>
    <row r="59" spans="1:5" x14ac:dyDescent="0.25">
      <c r="A59" s="5">
        <v>44984</v>
      </c>
      <c r="B59" s="2" t="s">
        <v>3</v>
      </c>
      <c r="C59" s="2">
        <v>9847.75</v>
      </c>
      <c r="D59" s="2">
        <v>-0.34</v>
      </c>
      <c r="E59" s="2" t="s">
        <v>7</v>
      </c>
    </row>
    <row r="60" spans="1:5" x14ac:dyDescent="0.25">
      <c r="A60" s="5">
        <v>44985</v>
      </c>
      <c r="B60" s="2" t="s">
        <v>4</v>
      </c>
      <c r="C60" s="2">
        <v>1571.49</v>
      </c>
      <c r="D60" s="2">
        <v>5.55</v>
      </c>
      <c r="E60" s="2" t="s">
        <v>7</v>
      </c>
    </row>
    <row r="61" spans="1:5" x14ac:dyDescent="0.25">
      <c r="A61" s="5">
        <v>44986</v>
      </c>
      <c r="B61" s="2" t="s">
        <v>0</v>
      </c>
      <c r="C61" s="2">
        <v>1824.51</v>
      </c>
      <c r="D61" s="2">
        <v>-1.65</v>
      </c>
      <c r="E61" s="2" t="s">
        <v>7</v>
      </c>
    </row>
    <row r="62" spans="1:5" x14ac:dyDescent="0.25">
      <c r="A62" s="5">
        <v>44987</v>
      </c>
      <c r="B62" s="2" t="s">
        <v>1</v>
      </c>
      <c r="C62" s="2">
        <v>6735.69</v>
      </c>
      <c r="D62" s="2">
        <v>7.13</v>
      </c>
      <c r="E62" s="2" t="s">
        <v>6</v>
      </c>
    </row>
    <row r="63" spans="1:5" x14ac:dyDescent="0.25">
      <c r="A63" s="5">
        <v>44988</v>
      </c>
      <c r="B63" s="2" t="s">
        <v>1</v>
      </c>
      <c r="C63" s="2">
        <v>1853.7</v>
      </c>
      <c r="D63" s="2">
        <v>12.46</v>
      </c>
      <c r="E63" s="2" t="s">
        <v>7</v>
      </c>
    </row>
    <row r="64" spans="1:5" x14ac:dyDescent="0.25">
      <c r="A64" s="5">
        <v>44989</v>
      </c>
      <c r="B64" s="2" t="s">
        <v>1</v>
      </c>
      <c r="C64" s="2">
        <v>8655.92</v>
      </c>
      <c r="D64" s="2">
        <v>7.11</v>
      </c>
      <c r="E64" s="2" t="s">
        <v>6</v>
      </c>
    </row>
    <row r="65" spans="1:5" x14ac:dyDescent="0.25">
      <c r="A65" s="5">
        <v>44990</v>
      </c>
      <c r="B65" s="2" t="s">
        <v>3</v>
      </c>
      <c r="C65" s="2">
        <v>5596.38</v>
      </c>
      <c r="D65" s="2">
        <v>-1.91</v>
      </c>
      <c r="E65" s="2" t="s">
        <v>6</v>
      </c>
    </row>
    <row r="66" spans="1:5" x14ac:dyDescent="0.25">
      <c r="A66" s="5">
        <v>44991</v>
      </c>
      <c r="B66" s="2" t="s">
        <v>3</v>
      </c>
      <c r="C66" s="2">
        <v>5800.43</v>
      </c>
      <c r="D66" s="2">
        <v>2.99</v>
      </c>
      <c r="E66" s="2" t="s">
        <v>6</v>
      </c>
    </row>
    <row r="67" spans="1:5" x14ac:dyDescent="0.25">
      <c r="A67" s="5">
        <v>44992</v>
      </c>
      <c r="B67" s="2" t="s">
        <v>3</v>
      </c>
      <c r="C67" s="2">
        <v>7630.71</v>
      </c>
      <c r="D67" s="2">
        <v>11.37</v>
      </c>
      <c r="E67" s="2" t="s">
        <v>5</v>
      </c>
    </row>
    <row r="68" spans="1:5" x14ac:dyDescent="0.25">
      <c r="A68" s="5">
        <v>44993</v>
      </c>
      <c r="B68" s="2" t="s">
        <v>4</v>
      </c>
      <c r="C68" s="2">
        <v>4022.72</v>
      </c>
      <c r="D68" s="2">
        <v>2.75</v>
      </c>
      <c r="E68" s="2" t="s">
        <v>6</v>
      </c>
    </row>
    <row r="69" spans="1:5" x14ac:dyDescent="0.25">
      <c r="A69" s="5">
        <v>44994</v>
      </c>
      <c r="B69" s="2" t="s">
        <v>2</v>
      </c>
      <c r="C69" s="2">
        <v>9140.0400000000009</v>
      </c>
      <c r="D69" s="2">
        <v>-3.15</v>
      </c>
      <c r="E69" s="2" t="s">
        <v>5</v>
      </c>
    </row>
    <row r="70" spans="1:5" x14ac:dyDescent="0.25">
      <c r="A70" s="5">
        <v>44995</v>
      </c>
      <c r="B70" s="2" t="s">
        <v>2</v>
      </c>
      <c r="C70" s="2">
        <v>5464.05</v>
      </c>
      <c r="D70" s="2">
        <v>8.4700000000000006</v>
      </c>
      <c r="E70" s="2" t="s">
        <v>6</v>
      </c>
    </row>
    <row r="71" spans="1:5" x14ac:dyDescent="0.25">
      <c r="A71" s="5">
        <v>44996</v>
      </c>
      <c r="B71" s="2" t="s">
        <v>4</v>
      </c>
      <c r="C71" s="2">
        <v>8560.1200000000008</v>
      </c>
      <c r="D71" s="2">
        <v>2.13</v>
      </c>
      <c r="E71" s="2" t="s">
        <v>5</v>
      </c>
    </row>
    <row r="72" spans="1:5" x14ac:dyDescent="0.25">
      <c r="A72" s="5">
        <v>44997</v>
      </c>
      <c r="B72" s="2" t="s">
        <v>2</v>
      </c>
      <c r="C72" s="2">
        <v>2199.46</v>
      </c>
      <c r="D72" s="2">
        <v>-3.57</v>
      </c>
      <c r="E72" s="2" t="s">
        <v>6</v>
      </c>
    </row>
    <row r="73" spans="1:5" x14ac:dyDescent="0.25">
      <c r="A73" s="5">
        <v>44998</v>
      </c>
      <c r="B73" s="2" t="s">
        <v>1</v>
      </c>
      <c r="C73" s="2">
        <v>7340.3</v>
      </c>
      <c r="D73" s="2">
        <v>7.32</v>
      </c>
      <c r="E73" s="2" t="s">
        <v>5</v>
      </c>
    </row>
    <row r="74" spans="1:5" x14ac:dyDescent="0.25">
      <c r="A74" s="5">
        <v>44999</v>
      </c>
      <c r="B74" s="2" t="s">
        <v>4</v>
      </c>
      <c r="C74" s="2">
        <v>9874.07</v>
      </c>
      <c r="D74" s="2">
        <v>14.77</v>
      </c>
      <c r="E74" s="2" t="s">
        <v>5</v>
      </c>
    </row>
    <row r="75" spans="1:5" x14ac:dyDescent="0.25">
      <c r="A75" s="5">
        <v>45000</v>
      </c>
      <c r="B75" s="2" t="s">
        <v>3</v>
      </c>
      <c r="C75" s="2">
        <v>7165.36</v>
      </c>
      <c r="D75" s="2">
        <v>9.57</v>
      </c>
      <c r="E75" s="2" t="s">
        <v>5</v>
      </c>
    </row>
    <row r="76" spans="1:5" x14ac:dyDescent="0.25">
      <c r="A76" s="5">
        <v>45001</v>
      </c>
      <c r="B76" s="2" t="s">
        <v>0</v>
      </c>
      <c r="C76" s="2">
        <v>5369.49</v>
      </c>
      <c r="D76" s="2">
        <v>-1.35</v>
      </c>
      <c r="E76" s="2" t="s">
        <v>5</v>
      </c>
    </row>
    <row r="77" spans="1:5" x14ac:dyDescent="0.25">
      <c r="A77" s="5">
        <v>45002</v>
      </c>
      <c r="B77" s="2" t="s">
        <v>0</v>
      </c>
      <c r="C77" s="2">
        <v>4379.87</v>
      </c>
      <c r="D77" s="2">
        <v>-1.04</v>
      </c>
      <c r="E77" s="2" t="s">
        <v>7</v>
      </c>
    </row>
    <row r="78" spans="1:5" x14ac:dyDescent="0.25">
      <c r="A78" s="5">
        <v>45003</v>
      </c>
      <c r="B78" s="2" t="s">
        <v>0</v>
      </c>
      <c r="C78" s="2">
        <v>8622.64</v>
      </c>
      <c r="D78" s="2">
        <v>-2.69</v>
      </c>
      <c r="E78" s="2" t="s">
        <v>6</v>
      </c>
    </row>
    <row r="79" spans="1:5" x14ac:dyDescent="0.25">
      <c r="A79" s="5">
        <v>45004</v>
      </c>
      <c r="B79" s="2" t="s">
        <v>1</v>
      </c>
      <c r="C79" s="2">
        <v>6719.65</v>
      </c>
      <c r="D79" s="2">
        <v>-3.26</v>
      </c>
      <c r="E79" s="2" t="s">
        <v>5</v>
      </c>
    </row>
    <row r="80" spans="1:5" x14ac:dyDescent="0.25">
      <c r="A80" s="5">
        <v>45005</v>
      </c>
      <c r="B80" s="2" t="s">
        <v>0</v>
      </c>
      <c r="C80" s="2">
        <v>6722.48</v>
      </c>
      <c r="D80" s="2">
        <v>11.27</v>
      </c>
      <c r="E80" s="2" t="s">
        <v>7</v>
      </c>
    </row>
    <row r="81" spans="1:5" x14ac:dyDescent="0.25">
      <c r="A81" s="5">
        <v>45006</v>
      </c>
      <c r="B81" s="2" t="s">
        <v>0</v>
      </c>
      <c r="C81" s="2">
        <v>1672.15</v>
      </c>
      <c r="D81" s="2">
        <v>-4.8</v>
      </c>
      <c r="E81" s="2" t="s">
        <v>6</v>
      </c>
    </row>
    <row r="82" spans="1:5" x14ac:dyDescent="0.25">
      <c r="A82" s="5">
        <v>45007</v>
      </c>
      <c r="B82" s="2" t="s">
        <v>3</v>
      </c>
      <c r="C82" s="2">
        <v>1404.02</v>
      </c>
      <c r="D82" s="2">
        <v>-3.87</v>
      </c>
      <c r="E82" s="2" t="s">
        <v>6</v>
      </c>
    </row>
    <row r="83" spans="1:5" x14ac:dyDescent="0.25">
      <c r="A83" s="5">
        <v>45008</v>
      </c>
      <c r="B83" s="2" t="s">
        <v>4</v>
      </c>
      <c r="C83" s="2">
        <v>3121.41</v>
      </c>
      <c r="D83" s="2">
        <v>14.57</v>
      </c>
      <c r="E83" s="2" t="s">
        <v>5</v>
      </c>
    </row>
    <row r="84" spans="1:5" x14ac:dyDescent="0.25">
      <c r="A84" s="5">
        <v>45009</v>
      </c>
      <c r="B84" s="2" t="s">
        <v>3</v>
      </c>
      <c r="C84" s="2">
        <v>2388.8000000000002</v>
      </c>
      <c r="D84" s="2">
        <v>1.93</v>
      </c>
      <c r="E84" s="2" t="s">
        <v>6</v>
      </c>
    </row>
    <row r="85" spans="1:5" x14ac:dyDescent="0.25">
      <c r="A85" s="5">
        <v>45010</v>
      </c>
      <c r="B85" s="2" t="s">
        <v>3</v>
      </c>
      <c r="C85" s="2">
        <v>5184.62</v>
      </c>
      <c r="D85" s="2">
        <v>14.86</v>
      </c>
      <c r="E85" s="2" t="s">
        <v>7</v>
      </c>
    </row>
    <row r="86" spans="1:5" x14ac:dyDescent="0.25">
      <c r="A86" s="5">
        <v>45011</v>
      </c>
      <c r="B86" s="2" t="s">
        <v>3</v>
      </c>
      <c r="C86" s="2">
        <v>9563.98</v>
      </c>
      <c r="D86" s="2">
        <v>9.56</v>
      </c>
      <c r="E86" s="2" t="s">
        <v>5</v>
      </c>
    </row>
    <row r="87" spans="1:5" x14ac:dyDescent="0.25">
      <c r="A87" s="5">
        <v>45012</v>
      </c>
      <c r="B87" s="2" t="s">
        <v>4</v>
      </c>
      <c r="C87" s="2">
        <v>5642.64</v>
      </c>
      <c r="D87" s="2">
        <v>12.67</v>
      </c>
      <c r="E87" s="2" t="s">
        <v>6</v>
      </c>
    </row>
    <row r="88" spans="1:5" x14ac:dyDescent="0.25">
      <c r="A88" s="5">
        <v>45013</v>
      </c>
      <c r="B88" s="2" t="s">
        <v>4</v>
      </c>
      <c r="C88" s="2">
        <v>1739.91</v>
      </c>
      <c r="D88" s="2">
        <v>2.96</v>
      </c>
      <c r="E88" s="2" t="s">
        <v>7</v>
      </c>
    </row>
    <row r="89" spans="1:5" x14ac:dyDescent="0.25">
      <c r="A89" s="5">
        <v>45014</v>
      </c>
      <c r="B89" s="2" t="s">
        <v>1</v>
      </c>
      <c r="C89" s="2">
        <v>5140.6099999999997</v>
      </c>
      <c r="D89" s="2">
        <v>6.73</v>
      </c>
      <c r="E89" s="2" t="s">
        <v>7</v>
      </c>
    </row>
    <row r="90" spans="1:5" x14ac:dyDescent="0.25">
      <c r="A90" s="5">
        <v>45015</v>
      </c>
      <c r="B90" s="2" t="s">
        <v>2</v>
      </c>
      <c r="C90" s="2">
        <v>7602.21</v>
      </c>
      <c r="D90" s="2">
        <v>8.15</v>
      </c>
      <c r="E90" s="2" t="s">
        <v>5</v>
      </c>
    </row>
    <row r="91" spans="1:5" x14ac:dyDescent="0.25">
      <c r="A91" s="5">
        <v>45016</v>
      </c>
      <c r="B91" s="2" t="s">
        <v>0</v>
      </c>
      <c r="C91" s="2">
        <v>6923.46</v>
      </c>
      <c r="D91" s="2">
        <v>13.85</v>
      </c>
      <c r="E91" s="2" t="s">
        <v>6</v>
      </c>
    </row>
    <row r="92" spans="1:5" x14ac:dyDescent="0.25">
      <c r="A92" s="5">
        <v>45017</v>
      </c>
      <c r="B92" s="2" t="s">
        <v>4</v>
      </c>
      <c r="C92" s="2">
        <v>2886.93</v>
      </c>
      <c r="D92" s="2">
        <v>5.27</v>
      </c>
      <c r="E92" s="2" t="s">
        <v>6</v>
      </c>
    </row>
    <row r="93" spans="1:5" x14ac:dyDescent="0.25">
      <c r="A93" s="5">
        <v>45018</v>
      </c>
      <c r="B93" s="2" t="s">
        <v>0</v>
      </c>
      <c r="C93" s="2">
        <v>8523.2199999999993</v>
      </c>
      <c r="D93" s="2">
        <v>7.7</v>
      </c>
      <c r="E93" s="2" t="s">
        <v>7</v>
      </c>
    </row>
    <row r="94" spans="1:5" x14ac:dyDescent="0.25">
      <c r="A94" s="5">
        <v>45019</v>
      </c>
      <c r="B94" s="2" t="s">
        <v>0</v>
      </c>
      <c r="C94" s="2">
        <v>1765.04</v>
      </c>
      <c r="D94" s="2">
        <v>0.41</v>
      </c>
      <c r="E94" s="2" t="s">
        <v>5</v>
      </c>
    </row>
    <row r="95" spans="1:5" x14ac:dyDescent="0.25">
      <c r="A95" s="5">
        <v>45020</v>
      </c>
      <c r="B95" s="2" t="s">
        <v>2</v>
      </c>
      <c r="C95" s="2">
        <v>4666.4399999999996</v>
      </c>
      <c r="D95" s="2">
        <v>6.94</v>
      </c>
      <c r="E95" s="2" t="s">
        <v>5</v>
      </c>
    </row>
    <row r="96" spans="1:5" x14ac:dyDescent="0.25">
      <c r="A96" s="5">
        <v>45021</v>
      </c>
      <c r="B96" s="2" t="s">
        <v>4</v>
      </c>
      <c r="C96" s="2">
        <v>5396.96</v>
      </c>
      <c r="D96" s="2">
        <v>9.4700000000000006</v>
      </c>
      <c r="E96" s="2" t="s">
        <v>6</v>
      </c>
    </row>
    <row r="97" spans="1:5" x14ac:dyDescent="0.25">
      <c r="A97" s="5">
        <v>45022</v>
      </c>
      <c r="B97" s="2" t="s">
        <v>1</v>
      </c>
      <c r="C97" s="2">
        <v>8515.85</v>
      </c>
      <c r="D97" s="2">
        <v>14.38</v>
      </c>
      <c r="E97" s="2" t="s">
        <v>5</v>
      </c>
    </row>
    <row r="98" spans="1:5" x14ac:dyDescent="0.25">
      <c r="A98" s="5">
        <v>45023</v>
      </c>
      <c r="B98" s="2" t="s">
        <v>3</v>
      </c>
      <c r="C98" s="2">
        <v>6834.58</v>
      </c>
      <c r="D98" s="2">
        <v>8.36</v>
      </c>
      <c r="E98" s="2" t="s">
        <v>7</v>
      </c>
    </row>
    <row r="99" spans="1:5" x14ac:dyDescent="0.25">
      <c r="A99" s="5">
        <v>45024</v>
      </c>
      <c r="B99" s="2" t="s">
        <v>2</v>
      </c>
      <c r="C99" s="2">
        <v>4973.32</v>
      </c>
      <c r="D99" s="2">
        <v>1.86</v>
      </c>
      <c r="E99" s="2" t="s">
        <v>7</v>
      </c>
    </row>
    <row r="100" spans="1:5" x14ac:dyDescent="0.25">
      <c r="A100" s="5">
        <v>45025</v>
      </c>
      <c r="B100" s="2" t="s">
        <v>3</v>
      </c>
      <c r="C100" s="2">
        <v>9400.0400000000009</v>
      </c>
      <c r="D100" s="2">
        <v>12.93</v>
      </c>
      <c r="E100" s="2" t="s">
        <v>6</v>
      </c>
    </row>
    <row r="101" spans="1:5" x14ac:dyDescent="0.25">
      <c r="A101" s="5">
        <v>45026</v>
      </c>
      <c r="B101" s="2" t="s">
        <v>0</v>
      </c>
      <c r="C101" s="2">
        <v>2621.51</v>
      </c>
      <c r="D101" s="2">
        <v>10.15</v>
      </c>
      <c r="E101"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BDDF-2AF1-469C-B178-02B9803BA6D8}">
  <dimension ref="A3:B9"/>
  <sheetViews>
    <sheetView workbookViewId="0">
      <selection activeCell="K20" sqref="K20"/>
    </sheetView>
  </sheetViews>
  <sheetFormatPr defaultRowHeight="15" x14ac:dyDescent="0.25"/>
  <cols>
    <col min="1" max="1" width="14.5703125" bestFit="1" customWidth="1"/>
    <col min="2" max="2" width="12.140625" bestFit="1" customWidth="1"/>
  </cols>
  <sheetData>
    <row r="3" spans="1:2" x14ac:dyDescent="0.25">
      <c r="A3" s="3" t="s">
        <v>8</v>
      </c>
      <c r="B3" t="s">
        <v>12</v>
      </c>
    </row>
    <row r="4" spans="1:2" x14ac:dyDescent="0.25">
      <c r="A4" s="2" t="s">
        <v>4</v>
      </c>
      <c r="B4" s="4">
        <v>21</v>
      </c>
    </row>
    <row r="5" spans="1:2" x14ac:dyDescent="0.25">
      <c r="A5" s="2" t="s">
        <v>0</v>
      </c>
      <c r="B5" s="4">
        <v>23</v>
      </c>
    </row>
    <row r="6" spans="1:2" x14ac:dyDescent="0.25">
      <c r="A6" s="2" t="s">
        <v>3</v>
      </c>
      <c r="B6" s="4">
        <v>27</v>
      </c>
    </row>
    <row r="7" spans="1:2" x14ac:dyDescent="0.25">
      <c r="A7" s="2" t="s">
        <v>1</v>
      </c>
      <c r="B7" s="4">
        <v>17</v>
      </c>
    </row>
    <row r="8" spans="1:2" x14ac:dyDescent="0.25">
      <c r="A8" s="2" t="s">
        <v>2</v>
      </c>
      <c r="B8" s="4">
        <v>12</v>
      </c>
    </row>
    <row r="9" spans="1:2" x14ac:dyDescent="0.25">
      <c r="A9" s="2" t="s">
        <v>13</v>
      </c>
      <c r="B9" s="4">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9EDF-6867-4C32-899A-A82B918F57A0}">
  <dimension ref="A3:C18"/>
  <sheetViews>
    <sheetView workbookViewId="0">
      <selection activeCell="P13" sqref="P13"/>
    </sheetView>
  </sheetViews>
  <sheetFormatPr defaultRowHeight="15" x14ac:dyDescent="0.25"/>
  <cols>
    <col min="1" max="1" width="16.140625" bestFit="1" customWidth="1"/>
    <col min="2" max="2" width="14.5703125" bestFit="1" customWidth="1"/>
    <col min="3" max="3" width="26.85546875" bestFit="1" customWidth="1"/>
  </cols>
  <sheetData>
    <row r="3" spans="1:3" x14ac:dyDescent="0.25">
      <c r="A3" s="3" t="s">
        <v>11</v>
      </c>
      <c r="B3" s="3" t="s">
        <v>8</v>
      </c>
      <c r="C3" t="s">
        <v>14</v>
      </c>
    </row>
    <row r="4" spans="1:3" x14ac:dyDescent="0.25">
      <c r="A4" t="s">
        <v>6</v>
      </c>
      <c r="B4" t="s">
        <v>4</v>
      </c>
      <c r="C4" s="4">
        <v>34</v>
      </c>
    </row>
    <row r="5" spans="1:3" x14ac:dyDescent="0.25">
      <c r="A5" t="s">
        <v>6</v>
      </c>
      <c r="B5" t="s">
        <v>0</v>
      </c>
      <c r="C5" s="4">
        <v>5.9399999999999977</v>
      </c>
    </row>
    <row r="6" spans="1:3" x14ac:dyDescent="0.25">
      <c r="A6" t="s">
        <v>6</v>
      </c>
      <c r="B6" t="s">
        <v>3</v>
      </c>
      <c r="C6" s="4">
        <v>53.210000000000008</v>
      </c>
    </row>
    <row r="7" spans="1:3" x14ac:dyDescent="0.25">
      <c r="A7" t="s">
        <v>6</v>
      </c>
      <c r="B7" t="s">
        <v>1</v>
      </c>
      <c r="C7" s="4">
        <v>14.24</v>
      </c>
    </row>
    <row r="8" spans="1:3" x14ac:dyDescent="0.25">
      <c r="A8" t="s">
        <v>6</v>
      </c>
      <c r="B8" t="s">
        <v>2</v>
      </c>
      <c r="C8" s="4">
        <v>19.149999999999999</v>
      </c>
    </row>
    <row r="9" spans="1:3" x14ac:dyDescent="0.25">
      <c r="A9" t="s">
        <v>5</v>
      </c>
      <c r="B9" t="s">
        <v>4</v>
      </c>
      <c r="C9" s="4">
        <v>72.300000000000011</v>
      </c>
    </row>
    <row r="10" spans="1:3" x14ac:dyDescent="0.25">
      <c r="A10" t="s">
        <v>5</v>
      </c>
      <c r="B10" t="s">
        <v>0</v>
      </c>
      <c r="C10" s="4">
        <v>31.82</v>
      </c>
    </row>
    <row r="11" spans="1:3" x14ac:dyDescent="0.25">
      <c r="A11" t="s">
        <v>5</v>
      </c>
      <c r="B11" t="s">
        <v>3</v>
      </c>
      <c r="C11" s="4">
        <v>65.55</v>
      </c>
    </row>
    <row r="12" spans="1:3" x14ac:dyDescent="0.25">
      <c r="A12" t="s">
        <v>5</v>
      </c>
      <c r="B12" t="s">
        <v>1</v>
      </c>
      <c r="C12" s="4">
        <v>39.330000000000005</v>
      </c>
    </row>
    <row r="13" spans="1:3" x14ac:dyDescent="0.25">
      <c r="A13" t="s">
        <v>5</v>
      </c>
      <c r="B13" t="s">
        <v>2</v>
      </c>
      <c r="C13" s="4">
        <v>10.440000000000001</v>
      </c>
    </row>
    <row r="14" spans="1:3" x14ac:dyDescent="0.25">
      <c r="A14" t="s">
        <v>7</v>
      </c>
      <c r="B14" t="s">
        <v>4</v>
      </c>
      <c r="C14" s="4">
        <v>20.900000000000002</v>
      </c>
    </row>
    <row r="15" spans="1:3" x14ac:dyDescent="0.25">
      <c r="A15" t="s">
        <v>7</v>
      </c>
      <c r="B15" t="s">
        <v>0</v>
      </c>
      <c r="C15" s="4">
        <v>11.49</v>
      </c>
    </row>
    <row r="16" spans="1:3" x14ac:dyDescent="0.25">
      <c r="A16" t="s">
        <v>7</v>
      </c>
      <c r="B16" t="s">
        <v>3</v>
      </c>
      <c r="C16" s="4">
        <v>36.76</v>
      </c>
    </row>
    <row r="17" spans="1:3" x14ac:dyDescent="0.25">
      <c r="A17" t="s">
        <v>7</v>
      </c>
      <c r="B17" t="s">
        <v>1</v>
      </c>
      <c r="C17" s="4">
        <v>65.13</v>
      </c>
    </row>
    <row r="18" spans="1:3" x14ac:dyDescent="0.25">
      <c r="A18" t="s">
        <v>7</v>
      </c>
      <c r="B18" t="s">
        <v>2</v>
      </c>
      <c r="C18" s="4">
        <v>20.399999999999999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C573-B4E1-4E87-AF62-61A483EAA063}">
  <dimension ref="A3:E10"/>
  <sheetViews>
    <sheetView workbookViewId="0">
      <selection activeCell="I18" sqref="I18"/>
    </sheetView>
  </sheetViews>
  <sheetFormatPr defaultRowHeight="15" x14ac:dyDescent="0.25"/>
  <cols>
    <col min="1" max="1" width="31.140625" bestFit="1" customWidth="1"/>
    <col min="2" max="2" width="16.140625" bestFit="1" customWidth="1"/>
    <col min="3" max="4" width="10" bestFit="1" customWidth="1"/>
    <col min="5" max="5" width="31.140625" bestFit="1" customWidth="1"/>
  </cols>
  <sheetData>
    <row r="3" spans="1:5" x14ac:dyDescent="0.25">
      <c r="A3" s="7" t="s">
        <v>17</v>
      </c>
      <c r="B3" s="7" t="s">
        <v>11</v>
      </c>
      <c r="C3" s="2"/>
      <c r="D3" s="2"/>
      <c r="E3" s="2"/>
    </row>
    <row r="4" spans="1:5" x14ac:dyDescent="0.25">
      <c r="A4" s="7" t="s">
        <v>8</v>
      </c>
      <c r="B4" s="2" t="s">
        <v>6</v>
      </c>
      <c r="C4" s="2" t="s">
        <v>5</v>
      </c>
      <c r="D4" s="2" t="s">
        <v>7</v>
      </c>
      <c r="E4" s="2" t="s">
        <v>16</v>
      </c>
    </row>
    <row r="5" spans="1:5" x14ac:dyDescent="0.25">
      <c r="A5" s="2" t="s">
        <v>4</v>
      </c>
      <c r="B5" s="8">
        <v>51477.94</v>
      </c>
      <c r="C5" s="8">
        <v>46455.11</v>
      </c>
      <c r="D5" s="8">
        <v>28802.950000000004</v>
      </c>
      <c r="E5" s="8">
        <v>126736</v>
      </c>
    </row>
    <row r="6" spans="1:5" x14ac:dyDescent="0.25">
      <c r="A6" s="2" t="s">
        <v>0</v>
      </c>
      <c r="B6" s="8">
        <v>37411.67</v>
      </c>
      <c r="C6" s="8">
        <v>48653.16</v>
      </c>
      <c r="D6" s="8">
        <v>58795.010000000009</v>
      </c>
      <c r="E6" s="8">
        <v>144859.84000000003</v>
      </c>
    </row>
    <row r="7" spans="1:5" x14ac:dyDescent="0.25">
      <c r="A7" s="2" t="s">
        <v>3</v>
      </c>
      <c r="B7" s="8">
        <v>73764.320000000007</v>
      </c>
      <c r="C7" s="8">
        <v>44993.649999999994</v>
      </c>
      <c r="D7" s="8">
        <v>35507.89</v>
      </c>
      <c r="E7" s="8">
        <v>154265.85999999999</v>
      </c>
    </row>
    <row r="8" spans="1:5" x14ac:dyDescent="0.25">
      <c r="A8" s="2" t="s">
        <v>1</v>
      </c>
      <c r="B8" s="8">
        <v>15391.61</v>
      </c>
      <c r="C8" s="8">
        <v>42082.829999999994</v>
      </c>
      <c r="D8" s="8">
        <v>29293.54</v>
      </c>
      <c r="E8" s="8">
        <v>86767.98</v>
      </c>
    </row>
    <row r="9" spans="1:5" x14ac:dyDescent="0.25">
      <c r="A9" s="2" t="s">
        <v>2</v>
      </c>
      <c r="B9" s="8">
        <v>24397.789999999997</v>
      </c>
      <c r="C9" s="8">
        <v>29568.38</v>
      </c>
      <c r="D9" s="8">
        <v>20469.59</v>
      </c>
      <c r="E9" s="8">
        <v>74435.759999999995</v>
      </c>
    </row>
    <row r="10" spans="1:5" x14ac:dyDescent="0.25">
      <c r="A10" s="2" t="s">
        <v>16</v>
      </c>
      <c r="B10" s="8">
        <v>202443.33</v>
      </c>
      <c r="C10" s="8">
        <v>211753.12999999998</v>
      </c>
      <c r="D10" s="8">
        <v>172868.98</v>
      </c>
      <c r="E10" s="8">
        <v>587065.43999999994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Jenis Investasi dan Keuntungan</vt:lpstr>
      <vt:lpstr>Keuntungan dan Tingkat Resiko</vt:lpstr>
      <vt:lpstr>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Kalambe Tangjong</cp:lastModifiedBy>
  <dcterms:created xsi:type="dcterms:W3CDTF">2024-12-20T11:53:45Z</dcterms:created>
  <dcterms:modified xsi:type="dcterms:W3CDTF">2024-12-20T20:54:10Z</dcterms:modified>
</cp:coreProperties>
</file>